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C:\Users\Acer\OneDrive\Desktop\Proyecto_Contabilidad\app\static\reportes_excel\"/>
    </mc:Choice>
  </mc:AlternateContent>
  <xr:revisionPtr revIDLastSave="0" documentId="8_{CDD606A3-5FAF-4796-8638-6250DEE35681}" xr6:coauthVersionLast="47" xr6:coauthVersionMax="47" xr10:uidLastSave="{00000000-0000-0000-0000-000000000000}"/>
  <bookViews>
    <workbookView xWindow="2200" yWindow="2200" windowWidth="14400" windowHeight="8170" tabRatio="948" activeTab="14" xr2:uid="{ED54245F-687D-4687-8483-8009F32F0E0A}"/>
  </bookViews>
  <sheets>
    <sheet name="CDA1" sheetId="1" r:id="rId1"/>
    <sheet name="CDA2" sheetId="2" r:id="rId2"/>
    <sheet name="CDA3" sheetId="3" r:id="rId3"/>
    <sheet name="CDA4" sheetId="4" r:id="rId4"/>
    <sheet name="CDA5" sheetId="5" r:id="rId5"/>
    <sheet name="CDA6" sheetId="6" r:id="rId6"/>
    <sheet name="CDA7" sheetId="7" r:id="rId7"/>
    <sheet name="CDA8" sheetId="8" r:id="rId8"/>
    <sheet name="CDA9" sheetId="9" r:id="rId9"/>
    <sheet name="CDA10" sheetId="10" r:id="rId10"/>
    <sheet name="CDA11" sheetId="11" r:id="rId11"/>
    <sheet name="CDA12" sheetId="12" r:id="rId12"/>
    <sheet name="CDA13" sheetId="13" r:id="rId13"/>
    <sheet name="CDA14" sheetId="14" r:id="rId14"/>
    <sheet name="CDA15" sheetId="15" r:id="rId15"/>
    <sheet name="CDA16" sheetId="19" r:id="rId16"/>
    <sheet name="GASTOS" sheetId="16" r:id="rId17"/>
    <sheet name="INGRESOS" sheetId="17" r:id="rId18"/>
  </sheets>
  <definedNames>
    <definedName name="_xlnm._FilterDatabase" localSheetId="12" hidden="1">'CDA13'!$B$10:$M$30</definedName>
    <definedName name="_xlnm.Print_Area" localSheetId="14">'CDA15'!$A$1:$AV$36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7" l="1"/>
  <c r="F7" i="17"/>
  <c r="D8" i="17"/>
  <c r="A9" i="17"/>
  <c r="D10" i="17"/>
  <c r="F10" i="17"/>
  <c r="B21" i="17"/>
  <c r="C21" i="17"/>
  <c r="D21" i="17"/>
  <c r="E21" i="17"/>
  <c r="F21" i="17"/>
  <c r="G21" i="17"/>
  <c r="H21" i="17"/>
  <c r="E22" i="17"/>
  <c r="G22" i="17"/>
  <c r="E23" i="17"/>
  <c r="F23" i="17"/>
  <c r="G23" i="17"/>
  <c r="E24" i="17"/>
  <c r="G24" i="17"/>
  <c r="B25" i="17"/>
  <c r="C25" i="17"/>
  <c r="D25" i="17"/>
  <c r="E25" i="17"/>
  <c r="F25" i="17"/>
  <c r="G25" i="17"/>
  <c r="H25" i="17"/>
  <c r="E26" i="17"/>
  <c r="F26" i="17"/>
  <c r="G26" i="17"/>
  <c r="E27" i="17"/>
  <c r="G27" i="17"/>
  <c r="E28" i="17"/>
  <c r="F28" i="17"/>
  <c r="G28" i="17"/>
  <c r="B29" i="17"/>
  <c r="C29" i="17"/>
  <c r="D29" i="17"/>
  <c r="E29" i="17"/>
  <c r="F29" i="17"/>
  <c r="G29" i="17"/>
  <c r="H29" i="17"/>
  <c r="A7" i="16"/>
  <c r="J7" i="16"/>
  <c r="A8" i="16"/>
  <c r="J9" i="16"/>
  <c r="M9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L17" i="16"/>
  <c r="N17" i="16"/>
  <c r="O17" i="16"/>
  <c r="P17" i="16"/>
  <c r="Q17" i="16"/>
  <c r="L18" i="16"/>
  <c r="M18" i="16"/>
  <c r="N18" i="16"/>
  <c r="O18" i="16"/>
  <c r="P18" i="16"/>
  <c r="Q18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L20" i="16"/>
  <c r="N20" i="16"/>
  <c r="O20" i="16"/>
  <c r="P20" i="16"/>
  <c r="Q20" i="16"/>
  <c r="L21" i="16"/>
  <c r="N21" i="16"/>
  <c r="O21" i="16"/>
  <c r="P21" i="16"/>
  <c r="Q21" i="16"/>
  <c r="L22" i="16"/>
  <c r="N22" i="16"/>
  <c r="O22" i="16"/>
  <c r="P22" i="16"/>
  <c r="Q22" i="16"/>
  <c r="L23" i="16"/>
  <c r="N23" i="16"/>
  <c r="O23" i="16"/>
  <c r="P23" i="16"/>
  <c r="Q23" i="16"/>
  <c r="L24" i="16"/>
  <c r="N24" i="16"/>
  <c r="O24" i="16"/>
  <c r="P24" i="16"/>
  <c r="Q24" i="16"/>
  <c r="L25" i="16"/>
  <c r="M25" i="16"/>
  <c r="N25" i="16"/>
  <c r="O25" i="16"/>
  <c r="P25" i="16"/>
  <c r="Q25" i="16"/>
  <c r="L26" i="16"/>
  <c r="N26" i="16"/>
  <c r="O26" i="16"/>
  <c r="P26" i="16"/>
  <c r="Q26" i="16"/>
  <c r="L27" i="16"/>
  <c r="N27" i="16"/>
  <c r="O27" i="16"/>
  <c r="P27" i="16"/>
  <c r="Q27" i="16"/>
  <c r="L28" i="16"/>
  <c r="P28" i="16"/>
  <c r="L29" i="16"/>
  <c r="N29" i="16"/>
  <c r="O29" i="16"/>
  <c r="P29" i="16"/>
  <c r="Q29" i="16"/>
  <c r="F30" i="16"/>
  <c r="G30" i="16"/>
  <c r="H30" i="16"/>
  <c r="I30" i="16"/>
  <c r="J30" i="16"/>
  <c r="K30" i="16"/>
  <c r="L30" i="16"/>
  <c r="M30" i="16"/>
  <c r="N30" i="16"/>
  <c r="O30" i="16"/>
  <c r="P30" i="16"/>
  <c r="Q30" i="16"/>
  <c r="G31" i="16"/>
  <c r="L31" i="16"/>
  <c r="M31" i="16"/>
  <c r="N31" i="16"/>
  <c r="O31" i="16"/>
  <c r="P31" i="16"/>
  <c r="Q31" i="16"/>
  <c r="L32" i="16"/>
  <c r="N32" i="16"/>
  <c r="O32" i="16"/>
  <c r="P32" i="16"/>
  <c r="Q32" i="16"/>
  <c r="F33" i="16"/>
  <c r="G33" i="16"/>
  <c r="H33" i="16"/>
  <c r="I33" i="16"/>
  <c r="J33" i="16"/>
  <c r="K33" i="16"/>
  <c r="L33" i="16"/>
  <c r="M33" i="16"/>
  <c r="N33" i="16"/>
  <c r="O33" i="16"/>
  <c r="P33" i="16"/>
  <c r="Q33" i="16"/>
  <c r="B3" i="19"/>
  <c r="B6" i="19"/>
  <c r="G11" i="19"/>
  <c r="E13" i="19"/>
  <c r="G13" i="19"/>
  <c r="G14" i="19"/>
  <c r="Z11" i="15"/>
  <c r="AU11" i="15"/>
  <c r="A12" i="15"/>
  <c r="S12" i="15"/>
  <c r="AF12" i="15"/>
  <c r="AM12" i="15"/>
  <c r="AQ12" i="15"/>
  <c r="A13" i="15"/>
  <c r="S13" i="15"/>
  <c r="AM13" i="15"/>
  <c r="U17" i="15"/>
  <c r="AH17" i="15"/>
  <c r="AP17" i="15"/>
  <c r="U18" i="15"/>
  <c r="AH18" i="15"/>
  <c r="AP18" i="15"/>
  <c r="AH19" i="15"/>
  <c r="AP19" i="15"/>
  <c r="U20" i="15"/>
  <c r="AH20" i="15"/>
  <c r="AP20" i="15"/>
  <c r="U21" i="15"/>
  <c r="AH21" i="15"/>
  <c r="AP21" i="15"/>
  <c r="U22" i="15"/>
  <c r="AH22" i="15"/>
  <c r="AP22" i="15"/>
  <c r="U23" i="15"/>
  <c r="AH23" i="15"/>
  <c r="AP23" i="15"/>
  <c r="U24" i="15"/>
  <c r="AH24" i="15"/>
  <c r="AP24" i="15"/>
  <c r="U25" i="15"/>
  <c r="AH25" i="15"/>
  <c r="AP25" i="15"/>
  <c r="U26" i="15"/>
  <c r="AH26" i="15"/>
  <c r="AP26" i="15"/>
  <c r="U27" i="15"/>
  <c r="AH27" i="15"/>
  <c r="AP27" i="15"/>
  <c r="U28" i="15"/>
  <c r="AH28" i="15"/>
  <c r="AP28" i="15"/>
  <c r="U29" i="15"/>
  <c r="AH29" i="15"/>
  <c r="AP29" i="15"/>
  <c r="U30" i="15"/>
  <c r="AH30" i="15"/>
  <c r="AP30" i="15"/>
  <c r="C8" i="14"/>
  <c r="B12" i="12"/>
  <c r="E12" i="12"/>
  <c r="B13" i="12"/>
  <c r="B13" i="11"/>
  <c r="I13" i="11"/>
  <c r="B14" i="11"/>
  <c r="A9" i="10"/>
  <c r="I9" i="10"/>
  <c r="A10" i="10"/>
  <c r="A9" i="9"/>
  <c r="F9" i="9"/>
  <c r="A10" i="9"/>
  <c r="I24" i="9"/>
  <c r="I25" i="9"/>
  <c r="G28" i="9"/>
  <c r="I28" i="9"/>
  <c r="A10" i="8"/>
  <c r="D10" i="8"/>
  <c r="A11" i="8"/>
  <c r="H15" i="8"/>
  <c r="I15" i="8"/>
  <c r="J15" i="8"/>
  <c r="H16" i="8"/>
  <c r="I16" i="8"/>
  <c r="J16" i="8"/>
  <c r="H17" i="8"/>
  <c r="I17" i="8"/>
  <c r="J17" i="8"/>
  <c r="E19" i="8"/>
  <c r="F19" i="8"/>
  <c r="G19" i="8"/>
  <c r="H19" i="8"/>
  <c r="I19" i="8"/>
  <c r="J19" i="8"/>
  <c r="A12" i="7"/>
  <c r="B12" i="7"/>
  <c r="A13" i="7"/>
  <c r="W9" i="6"/>
  <c r="L15" i="6"/>
  <c r="X15" i="6"/>
  <c r="AX15" i="6"/>
  <c r="X16" i="6"/>
  <c r="X17" i="6"/>
  <c r="X18" i="6"/>
  <c r="X19" i="6"/>
  <c r="X20" i="6"/>
  <c r="X21" i="6"/>
  <c r="X22" i="6"/>
  <c r="X23" i="6"/>
  <c r="B12" i="5"/>
  <c r="G12" i="5"/>
  <c r="B13" i="5"/>
  <c r="H18" i="5"/>
  <c r="H21" i="5"/>
  <c r="I21" i="5"/>
  <c r="H22" i="5"/>
  <c r="J22" i="5"/>
  <c r="C10" i="4"/>
  <c r="L10" i="4"/>
  <c r="C11" i="4"/>
  <c r="J17" i="4"/>
  <c r="J18" i="4"/>
  <c r="J20" i="4"/>
  <c r="J21" i="4"/>
  <c r="J23" i="4"/>
  <c r="J25" i="4"/>
  <c r="B14" i="3"/>
  <c r="G14" i="3"/>
  <c r="B15" i="3"/>
  <c r="B13" i="2"/>
  <c r="K13" i="2"/>
  <c r="B14" i="2"/>
  <c r="A14" i="1"/>
</calcChain>
</file>

<file path=xl/sharedStrings.xml><?xml version="1.0" encoding="utf-8"?>
<sst xmlns="http://schemas.openxmlformats.org/spreadsheetml/2006/main" count="972" uniqueCount="613">
  <si>
    <t>CONTRALORIA DEPARTAMENTAL DEL ATLANTICO</t>
  </si>
  <si>
    <t>RENDICION DE CUENTAS</t>
  </si>
  <si>
    <t>TIENDAS Y RESTAURANTES ESCOLARES</t>
  </si>
  <si>
    <t>ENTIDAD</t>
  </si>
  <si>
    <t>NIT</t>
  </si>
  <si>
    <t>PERIODO DE RENDICION</t>
  </si>
  <si>
    <t>A:</t>
  </si>
  <si>
    <t>INSTITUCION</t>
  </si>
  <si>
    <t>DIRECCION</t>
  </si>
  <si>
    <t>REPRESENTANTE LEGAL</t>
  </si>
  <si>
    <t>JORNADA</t>
  </si>
  <si>
    <t>No DE TIENDAS</t>
  </si>
  <si>
    <t>ESTADO</t>
  </si>
  <si>
    <t>PRESUP</t>
  </si>
  <si>
    <t>PROMEDIO DE ALUMNO POR TIENDA</t>
  </si>
  <si>
    <t>RESTAURANTE ESCOLAR</t>
  </si>
  <si>
    <t>No DE ALUMNOS BENEF.</t>
  </si>
  <si>
    <t>PROGRAMA</t>
  </si>
  <si>
    <t>ANEXOS Y SOPORTES</t>
  </si>
  <si>
    <t>D</t>
  </si>
  <si>
    <t>M</t>
  </si>
  <si>
    <t>N</t>
  </si>
  <si>
    <t>B</t>
  </si>
  <si>
    <t>R</t>
  </si>
  <si>
    <t>RP</t>
  </si>
  <si>
    <t>AMP</t>
  </si>
  <si>
    <t>SI</t>
  </si>
  <si>
    <t>NO</t>
  </si>
  <si>
    <t>RP: Reparación</t>
  </si>
  <si>
    <t>AMP: Ampliacion</t>
  </si>
  <si>
    <t>PRESUP: Presupuesto</t>
  </si>
  <si>
    <t>___________________________________</t>
  </si>
  <si>
    <t>FIRMA REPRESENTANTE LEGAL</t>
  </si>
  <si>
    <t>CDA1</t>
  </si>
  <si>
    <t>RENDICION DE CUENTA</t>
  </si>
  <si>
    <t>NIVEL TEGNOLOGICO Y CIENTIFICO DE LAS INSTITUCIONES Y CENTROS EDUCATIVOS</t>
  </si>
  <si>
    <t>ENTIDAD:</t>
  </si>
  <si>
    <t>NIT.</t>
  </si>
  <si>
    <t>PRESP</t>
  </si>
  <si>
    <t># DE ESTUD</t>
  </si>
  <si>
    <t xml:space="preserve">     MEDIOS </t>
  </si>
  <si>
    <t>DE</t>
  </si>
  <si>
    <t xml:space="preserve">                      COMUNICACIÓN</t>
  </si>
  <si>
    <t># DE EST.</t>
  </si>
  <si>
    <t>SALA DE</t>
  </si>
  <si>
    <t>SALA DE COMP</t>
  </si>
  <si>
    <t>CAP. POR</t>
  </si>
  <si>
    <t>LABORATORIO</t>
  </si>
  <si>
    <t>REP</t>
  </si>
  <si>
    <t>ATENDIDOS</t>
  </si>
  <si>
    <t xml:space="preserve">SI </t>
  </si>
  <si>
    <t>PROYEC.</t>
  </si>
  <si>
    <t>PERSONA</t>
  </si>
  <si>
    <t xml:space="preserve">FISICA </t>
  </si>
  <si>
    <t>RADIO</t>
  </si>
  <si>
    <t>QUIMICA</t>
  </si>
  <si>
    <t>PRENSA ESCUELA</t>
  </si>
  <si>
    <t>BIOLOGIA</t>
  </si>
  <si>
    <t>TELEMATICA</t>
  </si>
  <si>
    <t>INDUSTRIAL</t>
  </si>
  <si>
    <t>OTROS</t>
  </si>
  <si>
    <t>TALLERES</t>
  </si>
  <si>
    <t>NOMENCLATURA</t>
  </si>
  <si>
    <t>B-- BUENO</t>
  </si>
  <si>
    <t>R--REGULAR</t>
  </si>
  <si>
    <t>M-- MALO</t>
  </si>
  <si>
    <t>__________________________</t>
  </si>
  <si>
    <t>___________________________</t>
  </si>
  <si>
    <t>REP- REPARACION</t>
  </si>
  <si>
    <t>FIRMA DEL RESPONSABLE DEL AREA</t>
  </si>
  <si>
    <t>FIRMA DEL RESPONSABLE LEGAL</t>
  </si>
  <si>
    <t>PREP -  PRESUPUESTO</t>
  </si>
  <si>
    <t>CDA2</t>
  </si>
  <si>
    <t>PROGAMAS DE CAPACITACION</t>
  </si>
  <si>
    <t>NIT:</t>
  </si>
  <si>
    <t>JORNADAS</t>
  </si>
  <si>
    <t>CAPACITACION</t>
  </si>
  <si>
    <t>NOMBRE DEL FUNCIONARIO</t>
  </si>
  <si>
    <t>ENTIDAD RESPONSABLE</t>
  </si>
  <si>
    <t>PRESUPUESTO</t>
  </si>
  <si>
    <t>NECESIDAD DE CAPACITACION</t>
  </si>
  <si>
    <t>T</t>
  </si>
  <si>
    <t>UNIC</t>
  </si>
  <si>
    <t>RECIBIDA</t>
  </si>
  <si>
    <t>ANEXOS : CERTIFICACION DE ESTAS CAPACITACIONES</t>
  </si>
  <si>
    <t>__________________________________</t>
  </si>
  <si>
    <t>FIRMA DEL REPRESENTANTE  LEGAL</t>
  </si>
  <si>
    <t>CDA3</t>
  </si>
  <si>
    <t>ESTADO ACTUAL DE PLANTA FISICA Y CONDICIONES SANITARIAS DEL PLANTEL</t>
  </si>
  <si>
    <t xml:space="preserve">ESTADO DE </t>
  </si>
  <si>
    <t>AREAS DE</t>
  </si>
  <si>
    <t>PROMED</t>
  </si>
  <si>
    <t>DEPENDENCIAS</t>
  </si>
  <si>
    <t>BAÑOS PARA</t>
  </si>
  <si>
    <t>LA CONTRUCCION</t>
  </si>
  <si>
    <t>LAS AULAS</t>
  </si>
  <si>
    <t>DE ALUM</t>
  </si>
  <si>
    <t xml:space="preserve">No DE </t>
  </si>
  <si>
    <t xml:space="preserve">ALUM POR </t>
  </si>
  <si>
    <t>PROFESORES</t>
  </si>
  <si>
    <t>EN    M2</t>
  </si>
  <si>
    <t>POR AREA</t>
  </si>
  <si>
    <t>PRES</t>
  </si>
  <si>
    <t>SANIT</t>
  </si>
  <si>
    <t>LAVAM</t>
  </si>
  <si>
    <t>SANITARIO</t>
  </si>
  <si>
    <t>RECTORIA</t>
  </si>
  <si>
    <t>COORDINACION</t>
  </si>
  <si>
    <t>PAGADURIA</t>
  </si>
  <si>
    <t>SECRETARIA</t>
  </si>
  <si>
    <t>SALA DE PROFESORES</t>
  </si>
  <si>
    <t>S.AUDIOVISUALES</t>
  </si>
  <si>
    <t>S. BILINGUISMO</t>
  </si>
  <si>
    <t>S.INFORMATICA</t>
  </si>
  <si>
    <t>S. MECANOGRAFIA</t>
  </si>
  <si>
    <t>S.MUSICA</t>
  </si>
  <si>
    <t>BIBLIOTECA</t>
  </si>
  <si>
    <t>LABOR,FISICA,QUIMICA</t>
  </si>
  <si>
    <t>COMEDOR ESCOLAR</t>
  </si>
  <si>
    <t>B  - BUENO</t>
  </si>
  <si>
    <t>R  - REGULAR</t>
  </si>
  <si>
    <t>M - MALO</t>
  </si>
  <si>
    <t>REP - REPARACION</t>
  </si>
  <si>
    <t>AMPL-AMPLIACION</t>
  </si>
  <si>
    <t>CDA4</t>
  </si>
  <si>
    <t xml:space="preserve">RENDICION DE CUENTA </t>
  </si>
  <si>
    <t>ESTADISTICAS DE ESTUDIANTES</t>
  </si>
  <si>
    <t>BECADOS</t>
  </si>
  <si>
    <t>CLASE DE</t>
  </si>
  <si>
    <t xml:space="preserve">VALOR POR </t>
  </si>
  <si>
    <t>EQUIV. EN % SOBRE</t>
  </si>
  <si>
    <t>REEMBOLSO</t>
  </si>
  <si>
    <t>EQUIV. EN PORCENTAJES</t>
  </si>
  <si>
    <t>BECA</t>
  </si>
  <si>
    <t># DE BECA</t>
  </si>
  <si>
    <t>ESTUDIANTE</t>
  </si>
  <si>
    <t>EL TOTAL DE</t>
  </si>
  <si>
    <t xml:space="preserve">RECIBIDOS </t>
  </si>
  <si>
    <t>SOBRE EL PRESUPUESTO</t>
  </si>
  <si>
    <t>UNI</t>
  </si>
  <si>
    <t>ESTUDIANTES</t>
  </si>
  <si>
    <t>POR BECA</t>
  </si>
  <si>
    <t>DE INGRESOS</t>
  </si>
  <si>
    <t>GRATUIDAD</t>
  </si>
  <si>
    <t>DESPLAZADOS</t>
  </si>
  <si>
    <t>VISION MUNDIAL</t>
  </si>
  <si>
    <t>TOTAL</t>
  </si>
  <si>
    <t>ANEXOS: LISTADOS DE ESTUDIANTES BECADOS</t>
  </si>
  <si>
    <t>CDA5</t>
  </si>
  <si>
    <t>FORMATO DE RENDICION DE CUENTA</t>
  </si>
  <si>
    <t>ESTADISTICA DE ESTUDIANTES POR NIVELES Y CICLOS</t>
  </si>
  <si>
    <t>EDUCACION</t>
  </si>
  <si>
    <t xml:space="preserve"> # DE PROF</t>
  </si>
  <si>
    <t>EDCACION</t>
  </si>
  <si>
    <t># DE PROF</t>
  </si>
  <si>
    <t>EDUC. MEDIA</t>
  </si>
  <si>
    <t>TOTAL DE</t>
  </si>
  <si>
    <t>PREESCOLAR</t>
  </si>
  <si>
    <t>PROM.  EST .</t>
  </si>
  <si>
    <t>BASICA</t>
  </si>
  <si>
    <t>PRO. EST</t>
  </si>
  <si>
    <t>ACAD</t>
  </si>
  <si>
    <t>TECN</t>
  </si>
  <si>
    <t xml:space="preserve">    PRO. EST</t>
  </si>
  <si>
    <t>UCA</t>
  </si>
  <si>
    <t>PRE</t>
  </si>
  <si>
    <t>JAR</t>
  </si>
  <si>
    <t>. POR PROF</t>
  </si>
  <si>
    <t>POR. PROF</t>
  </si>
  <si>
    <t>10          11</t>
  </si>
  <si>
    <t>MATRICULADOS</t>
  </si>
  <si>
    <t>JORNADA NOCTURNA</t>
  </si>
  <si>
    <t>NUMEROS DE ESTUDIANTES</t>
  </si>
  <si>
    <t xml:space="preserve">                                        </t>
  </si>
  <si>
    <t>POR CICLOS</t>
  </si>
  <si>
    <t>NOVEDADES DEL PERIODO</t>
  </si>
  <si>
    <t>COBERTURA ESTUDIANTIL</t>
  </si>
  <si>
    <t>NUMERO DE</t>
  </si>
  <si>
    <t xml:space="preserve">ESTUDIANTES </t>
  </si>
  <si>
    <t>%  DE</t>
  </si>
  <si>
    <t xml:space="preserve"> I</t>
  </si>
  <si>
    <t xml:space="preserve">     II   </t>
  </si>
  <si>
    <t xml:space="preserve">   III  </t>
  </si>
  <si>
    <t xml:space="preserve">         IV</t>
  </si>
  <si>
    <t xml:space="preserve">V  </t>
  </si>
  <si>
    <t>VI</t>
  </si>
  <si>
    <t>DESERTORES</t>
  </si>
  <si>
    <t>NO PROMOV</t>
  </si>
  <si>
    <r>
      <t xml:space="preserve">AÑO </t>
    </r>
    <r>
      <rPr>
        <b/>
        <sz val="9"/>
        <rFont val="Arial"/>
        <family val="2"/>
      </rPr>
      <t>ANT</t>
    </r>
  </si>
  <si>
    <t>AÑO ACT</t>
  </si>
  <si>
    <t>COBERTURA</t>
  </si>
  <si>
    <t>ANT. ANTERIOR</t>
  </si>
  <si>
    <t>ACT.  ACTUAL</t>
  </si>
  <si>
    <t>_______________________________</t>
  </si>
  <si>
    <t>________________________________</t>
  </si>
  <si>
    <t>CDA6</t>
  </si>
  <si>
    <t xml:space="preserve">               CONTRALORIA DEPARTAMENTAL DEL ATLANTICO</t>
  </si>
  <si>
    <t xml:space="preserve">            GARANTIA PARA EL MANEJO DE FONDOS Y BIENES DE LA ENTIDAD</t>
  </si>
  <si>
    <t>POLIZA No</t>
  </si>
  <si>
    <t>VIGENCIA</t>
  </si>
  <si>
    <t>INTERES ASEGURADO Y/O RIESGO ASEGURADO</t>
  </si>
  <si>
    <t>DESDE_____________ HASTA _______________</t>
  </si>
  <si>
    <t>TOMADOR</t>
  </si>
  <si>
    <t>DEPENDENCIA</t>
  </si>
  <si>
    <t>CARGO</t>
  </si>
  <si>
    <t>ASEGURADO</t>
  </si>
  <si>
    <t>ENTIDAD ASEGURADORA</t>
  </si>
  <si>
    <t>TIEMPO DE AMPARO</t>
  </si>
  <si>
    <t>VALOR ASEGURADO</t>
  </si>
  <si>
    <t>NOTA: Toda persona que maneje recursos económiccos o  bienes de la entidad debe constituir póliza de garantía.</t>
  </si>
  <si>
    <t>OBSERVACIONES:</t>
  </si>
  <si>
    <t>_____________________________</t>
  </si>
  <si>
    <t>CDA7</t>
  </si>
  <si>
    <t>CUENTAS BANCARIAS</t>
  </si>
  <si>
    <t>BANCO / CORPORACION</t>
  </si>
  <si>
    <t>CODIGO</t>
  </si>
  <si>
    <t xml:space="preserve">CUENTA </t>
  </si>
  <si>
    <t>DESTINACION DE</t>
  </si>
  <si>
    <t>SALDO ANTERIOR</t>
  </si>
  <si>
    <t xml:space="preserve">INGRESO DEL </t>
  </si>
  <si>
    <t xml:space="preserve">EGRESOS DEL </t>
  </si>
  <si>
    <t>SALDO LIBRO</t>
  </si>
  <si>
    <t>SALDO EXTRATO</t>
  </si>
  <si>
    <t>DEL BANCO</t>
  </si>
  <si>
    <t>CONTABLE</t>
  </si>
  <si>
    <t>No</t>
  </si>
  <si>
    <t>LA CUENTA</t>
  </si>
  <si>
    <t>PERIODO</t>
  </si>
  <si>
    <t>CONTABILIDAD</t>
  </si>
  <si>
    <t>BANCARIO</t>
  </si>
  <si>
    <t>TESORERIA</t>
  </si>
  <si>
    <t>TOTALES</t>
  </si>
  <si>
    <t>NOTA:  ANEXAR CONCILIACIONES BANCARIAS Y COPIA DE LOS EXTRACTOS DEL MES, SEGÚN LO  INDICADO EN EL INSTRUCTIVO.</t>
  </si>
  <si>
    <t>______________________________</t>
  </si>
  <si>
    <t>CDA8</t>
  </si>
  <si>
    <t xml:space="preserve">                                                           </t>
  </si>
  <si>
    <t xml:space="preserve">               CONTRALORIA DISTRITAL DE BARRANQUILLA</t>
  </si>
  <si>
    <t>CAJA MENOR</t>
  </si>
  <si>
    <t>INGRESOS</t>
  </si>
  <si>
    <t>RESOLUCION</t>
  </si>
  <si>
    <t xml:space="preserve">TOTAL </t>
  </si>
  <si>
    <t>GASTOS</t>
  </si>
  <si>
    <t>VALOR</t>
  </si>
  <si>
    <t>FECHA</t>
  </si>
  <si>
    <t>DESEMBOLSO INICIAL</t>
  </si>
  <si>
    <t>ADQUISICIONES BIENES</t>
  </si>
  <si>
    <t>REEMBOLSO 1</t>
  </si>
  <si>
    <t>COMPRA DE EQUIPOS</t>
  </si>
  <si>
    <t>REEMBOLSO 2</t>
  </si>
  <si>
    <t>ADQUISICION SERVICIOS</t>
  </si>
  <si>
    <t>REEMBOLSO 3</t>
  </si>
  <si>
    <t>SERVICIOS PUBLICOS</t>
  </si>
  <si>
    <t>REEMBOLSO 4</t>
  </si>
  <si>
    <t>VIATICOS Y GASTOS DE VIAJE</t>
  </si>
  <si>
    <t>REEMBOLSO 5</t>
  </si>
  <si>
    <t>MANTENIMIENTO</t>
  </si>
  <si>
    <t>REEMBOLSO 6</t>
  </si>
  <si>
    <t>IMPRESOS Y PUBLICACIONES</t>
  </si>
  <si>
    <t>REEMBOLSO 7</t>
  </si>
  <si>
    <t>COMUNICACIONES Y TRANSPORTE</t>
  </si>
  <si>
    <t>IMPUESTOS Y MULTAS</t>
  </si>
  <si>
    <t>VARIOS E IMPREVISTOS</t>
  </si>
  <si>
    <t>TOTAL GASTOS</t>
  </si>
  <si>
    <t>RESUMEN DE</t>
  </si>
  <si>
    <t>TOTAL  INGRESOS</t>
  </si>
  <si>
    <t>SALDO EFECTIVO</t>
  </si>
  <si>
    <t>DEDUCCIONES Y RETENCIONES</t>
  </si>
  <si>
    <t>EN CAJA</t>
  </si>
  <si>
    <t>TOTAL PAGADO</t>
  </si>
  <si>
    <t xml:space="preserve">                              RELACION DE COMPROBANTES</t>
  </si>
  <si>
    <t>ANEXAR EXTRACTOS BANCARIOS</t>
  </si>
  <si>
    <t xml:space="preserve">           __________________________________</t>
  </si>
  <si>
    <t xml:space="preserve">                DOCUMENTO</t>
  </si>
  <si>
    <t>NUMERACION</t>
  </si>
  <si>
    <t>DEL MES Y FOTOCOPIA DE POLIZA</t>
  </si>
  <si>
    <t xml:space="preserve">                   FIRMA REPRESENTANTE LEGAL</t>
  </si>
  <si>
    <t>DEL</t>
  </si>
  <si>
    <t>AL</t>
  </si>
  <si>
    <t>DE MANEJO Y RESOLUCION DE</t>
  </si>
  <si>
    <t>1. COMPROBANTE DE INGRESO</t>
  </si>
  <si>
    <t>CONSTITUCION</t>
  </si>
  <si>
    <t xml:space="preserve">         __________________________________</t>
  </si>
  <si>
    <t>2. COMPROBANTE DE EGRESO</t>
  </si>
  <si>
    <t>OBSERVACIONES</t>
  </si>
  <si>
    <t xml:space="preserve">              RESPONSABLE MANEJO DE CAJA</t>
  </si>
  <si>
    <t>CDA9</t>
  </si>
  <si>
    <t>MANEJO AMBIENTAL DE LOS LABORATORIOS</t>
  </si>
  <si>
    <t xml:space="preserve">JORNADA </t>
  </si>
  <si>
    <t>MATERIALES</t>
  </si>
  <si>
    <t>DISPOSICIÓN FINAL</t>
  </si>
  <si>
    <t>PERMISOS</t>
  </si>
  <si>
    <t xml:space="preserve">FECHA DE </t>
  </si>
  <si>
    <t>UTILIZADOS</t>
  </si>
  <si>
    <t>DE LOS RESIDUOS</t>
  </si>
  <si>
    <t>AMBIENTALES</t>
  </si>
  <si>
    <t>EXPEDICION</t>
  </si>
  <si>
    <t>N° DE RESOLUCION</t>
  </si>
  <si>
    <t>DIA</t>
  </si>
  <si>
    <t>MES</t>
  </si>
  <si>
    <t>AÑO</t>
  </si>
  <si>
    <t>FISICA</t>
  </si>
  <si>
    <t>ANEXOS: ANEXAR PERMISOS , COPIA DE LA RESOLUCION</t>
  </si>
  <si>
    <t>JEFE DE PRESUPUESTO</t>
  </si>
  <si>
    <t xml:space="preserve"> FIRMA</t>
  </si>
  <si>
    <t>CDA10</t>
  </si>
  <si>
    <t>ACTIVIDADES AMBIENTALES</t>
  </si>
  <si>
    <t>DESCRIPCION DEL PROYECTO POR NIVELES</t>
  </si>
  <si>
    <t>UNIC.</t>
  </si>
  <si>
    <t>PRESUP.</t>
  </si>
  <si>
    <t>% EJEC</t>
  </si>
  <si>
    <t>% POR EJEC</t>
  </si>
  <si>
    <t xml:space="preserve">E. BASICA </t>
  </si>
  <si>
    <t>E. MEDIA</t>
  </si>
  <si>
    <t>CICLOS</t>
  </si>
  <si>
    <t>PROYECTO AMBIENTAL PEDAGOGICO POR CICLOS</t>
  </si>
  <si>
    <t>DESCRIPCION</t>
  </si>
  <si>
    <t>%    EJECUTADO</t>
  </si>
  <si>
    <t>% POR EJECUTAR</t>
  </si>
  <si>
    <t>I</t>
  </si>
  <si>
    <t>NIVEL</t>
  </si>
  <si>
    <t>II</t>
  </si>
  <si>
    <t>III</t>
  </si>
  <si>
    <t>IV</t>
  </si>
  <si>
    <t>V</t>
  </si>
  <si>
    <t>ANEXAR: COPIA DE LOS PROYECTOS</t>
  </si>
  <si>
    <t>CDA11</t>
  </si>
  <si>
    <t>PARTICIPACION CIUDADANA</t>
  </si>
  <si>
    <t xml:space="preserve">PROMOCION Y DIVULGACION DE </t>
  </si>
  <si>
    <t xml:space="preserve">                  MEDIOS DE  PARTICIPACION</t>
  </si>
  <si>
    <t xml:space="preserve">PENDIENTES </t>
  </si>
  <si>
    <t>RADICADOS</t>
  </si>
  <si>
    <t xml:space="preserve">EJECUTADO </t>
  </si>
  <si>
    <t>EN TRAMITE</t>
  </si>
  <si>
    <t xml:space="preserve">ARCHIVADO </t>
  </si>
  <si>
    <t xml:space="preserve">RESPUESTA </t>
  </si>
  <si>
    <t>INDAGACION</t>
  </si>
  <si>
    <t>ACCION CORRECTIVA</t>
  </si>
  <si>
    <t>MECANISMOS DE PARTICIPACION</t>
  </si>
  <si>
    <t xml:space="preserve">PERIODO </t>
  </si>
  <si>
    <t>DURANTE</t>
  </si>
  <si>
    <t>DURANTE EL</t>
  </si>
  <si>
    <t xml:space="preserve">AL FINAL DEL </t>
  </si>
  <si>
    <t>POR</t>
  </si>
  <si>
    <t>DIRECTA</t>
  </si>
  <si>
    <t>Y/O  SANCIONATORIO</t>
  </si>
  <si>
    <t>CIUDADANA</t>
  </si>
  <si>
    <t>ANTERIOR</t>
  </si>
  <si>
    <t>EL PERIODO</t>
  </si>
  <si>
    <t>IMPROCEDENTE</t>
  </si>
  <si>
    <t>CONVOCATORIA( FOROS, AUDITORIA, E.T.C)</t>
  </si>
  <si>
    <t>CAMPANAS</t>
  </si>
  <si>
    <t>QUEJAS</t>
  </si>
  <si>
    <t>CORREO</t>
  </si>
  <si>
    <t>INSTRUCTIVOS</t>
  </si>
  <si>
    <t>CONSULTAS</t>
  </si>
  <si>
    <t>INTERNET</t>
  </si>
  <si>
    <t>PLEGABLE</t>
  </si>
  <si>
    <t>RECLAMOS</t>
  </si>
  <si>
    <t>PERSONAL</t>
  </si>
  <si>
    <t xml:space="preserve">JORNADA DE </t>
  </si>
  <si>
    <t>LINEA TELEFONICA</t>
  </si>
  <si>
    <t>ENCUENTROS</t>
  </si>
  <si>
    <t>FOROS REALIZADOS</t>
  </si>
  <si>
    <t>VEEDURIAS</t>
  </si>
  <si>
    <t>COMUNITARIA</t>
  </si>
  <si>
    <t>____________________________________</t>
  </si>
  <si>
    <t>________________________________________</t>
  </si>
  <si>
    <t>FIRMA DEL RESPONSABLE</t>
  </si>
  <si>
    <t>FIRMA DEL REPRESENTANTE LEGAL</t>
  </si>
  <si>
    <t>CDA12</t>
  </si>
  <si>
    <t>RELACION DETALLADA DE EGRESOS</t>
  </si>
  <si>
    <t>No.</t>
  </si>
  <si>
    <t>D   E   D   U   C   C   I   O   N   E   S</t>
  </si>
  <si>
    <t>EGRESO</t>
  </si>
  <si>
    <t>BENEFICIARIO</t>
  </si>
  <si>
    <t>CONCEPTO</t>
  </si>
  <si>
    <t>CHEQUE</t>
  </si>
  <si>
    <t>BANCO</t>
  </si>
  <si>
    <t>CUENTA</t>
  </si>
  <si>
    <t>ESTAMP</t>
  </si>
  <si>
    <t>RETEF</t>
  </si>
  <si>
    <t xml:space="preserve">PENSION </t>
  </si>
  <si>
    <t>SALUD</t>
  </si>
  <si>
    <t>RELACION DETALLADA DE LAS SEDES</t>
  </si>
  <si>
    <t>ADSCRITAS A LA INSTITUCION</t>
  </si>
  <si>
    <t>CANT</t>
  </si>
  <si>
    <t>NOMBRE DE LA SEDE</t>
  </si>
  <si>
    <t>COORDINADOR</t>
  </si>
  <si>
    <t>ALUMNOS</t>
  </si>
  <si>
    <t>ALUM. BECADOS</t>
  </si>
  <si>
    <t>UNICA</t>
  </si>
  <si>
    <t>FIRMA DEL RECTOR (a)</t>
  </si>
  <si>
    <t>CDA 14</t>
  </si>
  <si>
    <t xml:space="preserve">               </t>
  </si>
  <si>
    <t>INFORME DE CONTRATOS Y CONVENIOS LEGALIZADOS</t>
  </si>
  <si>
    <t>AREA</t>
  </si>
  <si>
    <t>DE:ENERO</t>
  </si>
  <si>
    <t>OBJETO</t>
  </si>
  <si>
    <t>CLASE</t>
  </si>
  <si>
    <t>VALOR DEL</t>
  </si>
  <si>
    <t>PLAZO DEL</t>
  </si>
  <si>
    <t>ASEGURA</t>
  </si>
  <si>
    <t>Nª DE</t>
  </si>
  <si>
    <t>TIPO DE</t>
  </si>
  <si>
    <t xml:space="preserve">            POLIZAS</t>
  </si>
  <si>
    <t xml:space="preserve">Nº DE </t>
  </si>
  <si>
    <t xml:space="preserve">  VIGENCIAS</t>
  </si>
  <si>
    <t xml:space="preserve">                  CONTRATISTA</t>
  </si>
  <si>
    <t>DISPONIB. PRESUPUESTAL</t>
  </si>
  <si>
    <t xml:space="preserve">            FECHA</t>
  </si>
  <si>
    <t xml:space="preserve">   FINANCIACION</t>
  </si>
  <si>
    <t xml:space="preserve">                                 FORMA DE CONTRATACION</t>
  </si>
  <si>
    <t xml:space="preserve">    REGISTRO PRESUPUESTAL</t>
  </si>
  <si>
    <t xml:space="preserve">              VALOR PAGOS  EFECTUADOS</t>
  </si>
  <si>
    <t xml:space="preserve">                INTERVENTOR</t>
  </si>
  <si>
    <t>OFERENTES NO SELECCIONADOS</t>
  </si>
  <si>
    <t>FECHA DE TERMINA</t>
  </si>
  <si>
    <t>FECHA ACTA DE</t>
  </si>
  <si>
    <t>CONTRATO</t>
  </si>
  <si>
    <t>DEL CONTRATO</t>
  </si>
  <si>
    <t>DORA</t>
  </si>
  <si>
    <t>POLIZA</t>
  </si>
  <si>
    <t>FECHA EXP.</t>
  </si>
  <si>
    <t>FECHA APROB</t>
  </si>
  <si>
    <t>RAZON SOCIAL</t>
  </si>
  <si>
    <t>NIT / CC</t>
  </si>
  <si>
    <t>C.D.P.  Nº</t>
  </si>
  <si>
    <t>FIRMA DEL</t>
  </si>
  <si>
    <t>ACTA DE</t>
  </si>
  <si>
    <t xml:space="preserve">FUENTES </t>
  </si>
  <si>
    <t>LICITACION</t>
  </si>
  <si>
    <t>U. MANIFIES</t>
  </si>
  <si>
    <t xml:space="preserve">ORDENESDE </t>
  </si>
  <si>
    <t xml:space="preserve">        CONTRATACION  DIRECTA</t>
  </si>
  <si>
    <t>RUBRO</t>
  </si>
  <si>
    <t>ANTICIPO</t>
  </si>
  <si>
    <t>SALDO</t>
  </si>
  <si>
    <t>NOMBRE</t>
  </si>
  <si>
    <t xml:space="preserve">NOMBRE </t>
  </si>
  <si>
    <t>CION DE CONTRATO</t>
  </si>
  <si>
    <t>LIQUIDACION</t>
  </si>
  <si>
    <t>NOTA: ANEXO FECHA DE PUBLICACION</t>
  </si>
  <si>
    <t>NO APLICA</t>
  </si>
  <si>
    <t>_____________________________________</t>
  </si>
  <si>
    <t>_______________________</t>
  </si>
  <si>
    <t>________________________</t>
  </si>
  <si>
    <t xml:space="preserve">   ______________________________</t>
  </si>
  <si>
    <t xml:space="preserve">FIRMA DIRECTOR ADMINISTRATIVO </t>
  </si>
  <si>
    <t>FIRMA OFICINA JURIDICA</t>
  </si>
  <si>
    <t>OFICINA JURIDICA</t>
  </si>
  <si>
    <t xml:space="preserve">   FIRMA REPRESENTANTE LEGAL</t>
  </si>
  <si>
    <t>VALOR EN MILES DE PESOS</t>
  </si>
  <si>
    <t>IDENTIFICACION PRESUPUESTAL</t>
  </si>
  <si>
    <t>APROPIACION</t>
  </si>
  <si>
    <t>M  O  D  I  F  I  C  A  C  I  O  N  E  S</t>
  </si>
  <si>
    <t>CDP</t>
  </si>
  <si>
    <t>COMPROMISOS</t>
  </si>
  <si>
    <t>OBLIGACIONES</t>
  </si>
  <si>
    <t>PAGOS</t>
  </si>
  <si>
    <t>SALDO POR</t>
  </si>
  <si>
    <t>INICIAL</t>
  </si>
  <si>
    <t>TRASLADOS</t>
  </si>
  <si>
    <t>APLAZAMIENTOS</t>
  </si>
  <si>
    <t>REDUCCIONES</t>
  </si>
  <si>
    <t>ADICIONES</t>
  </si>
  <si>
    <t>DEFINITIVA</t>
  </si>
  <si>
    <t>EXPEDIDOS</t>
  </si>
  <si>
    <t>COMPROMETER</t>
  </si>
  <si>
    <t>CREDITOS 2</t>
  </si>
  <si>
    <t>CONTRACREDITOS 3</t>
  </si>
  <si>
    <t>7 = 1+2-3-5+6</t>
  </si>
  <si>
    <t>12=7-9</t>
  </si>
  <si>
    <t>NOTA:  ANEXAR EJECUCION PRESUPUESTAL DE GASTOS DEL AÑO</t>
  </si>
  <si>
    <t>ANEXAR RELACIÓN DETALLADA DE LAS RESERVAS PRESUPUESTALES CUENTAS POR PAGAR CONSTITUIDAS A</t>
  </si>
  <si>
    <t>DICIEMBRE  31 DE LA VIGENCIA RENDIDA</t>
  </si>
  <si>
    <t xml:space="preserve">M O D I F I C A C I O N E S  </t>
  </si>
  <si>
    <t>RECAUDOS</t>
  </si>
  <si>
    <t>SALDO POR RECAUDAR</t>
  </si>
  <si>
    <t xml:space="preserve">D E S C R I P C I Ó N </t>
  </si>
  <si>
    <t>DEFINITIVO</t>
  </si>
  <si>
    <t>6 = 4 - 5</t>
  </si>
  <si>
    <t xml:space="preserve">4 = 1 + 2 - 3  </t>
  </si>
  <si>
    <t>PESOS 6A</t>
  </si>
  <si>
    <t>PORCENTAJE 6A/4</t>
  </si>
  <si>
    <t>1. RECURSOS DEL MUNICIPIO</t>
  </si>
  <si>
    <t>2. RECURSOS PROPIOS</t>
  </si>
  <si>
    <t>3. OTROS RECURSOS (DISCRIMINAR)</t>
  </si>
  <si>
    <t>TOTAL INGRESOS</t>
  </si>
  <si>
    <t>NOTA: ADJUNTAR COPIA DE LOS ACTOS ADMINISTRATIVOS QUE MODIFICARON EL PRESUPUESTO.</t>
  </si>
  <si>
    <t>ADJUNTAR EJECUCIÓN PRESUPUESTAL DE INGRESOS</t>
  </si>
  <si>
    <t>DE:  ENERO</t>
  </si>
  <si>
    <t>A: DICIEMBRE</t>
  </si>
  <si>
    <t>DE : ENERO</t>
  </si>
  <si>
    <t>HOJA: 1</t>
  </si>
  <si>
    <t>DE: 1</t>
  </si>
  <si>
    <t>DE :  ENERO</t>
  </si>
  <si>
    <t xml:space="preserve">HOJA:      1       DE:     1         </t>
  </si>
  <si>
    <t>DE: ENERO</t>
  </si>
  <si>
    <t>A:DICIEMBRE</t>
  </si>
  <si>
    <t>HOJA 1</t>
  </si>
  <si>
    <t>DE 1</t>
  </si>
  <si>
    <t>A:  DICIEMBRE</t>
  </si>
  <si>
    <t>HOJA:1    DE  1</t>
  </si>
  <si>
    <t>DE:   ENERO</t>
  </si>
  <si>
    <t>DICIEMBRE</t>
  </si>
  <si>
    <t>HOJA: 1  DE  1</t>
  </si>
  <si>
    <t>BANCO AGRARIO</t>
  </si>
  <si>
    <t>HOJA: 1 DE 1</t>
  </si>
  <si>
    <t xml:space="preserve">DE :  ENERO                          </t>
  </si>
  <si>
    <t>A.  DICIEMBRE</t>
  </si>
  <si>
    <t>HOJA:  1 DE:  1</t>
  </si>
  <si>
    <t>NIT:  802,020,459-1</t>
  </si>
  <si>
    <t>SECTOR:   EDUCATIVO</t>
  </si>
  <si>
    <t>REEMBOLSO 8</t>
  </si>
  <si>
    <t>REEMBOLSO 9</t>
  </si>
  <si>
    <t>PARAFISC</t>
  </si>
  <si>
    <t xml:space="preserve">                                     FIRMA OFICINA JURIDICA</t>
  </si>
  <si>
    <t xml:space="preserve">                                     __________________________</t>
  </si>
  <si>
    <t>Arrendamientos</t>
  </si>
  <si>
    <t>De la Nación (Gratuidad)</t>
  </si>
  <si>
    <t>Otras Transferencias Municipales</t>
  </si>
  <si>
    <t>Otros Recursos del Balance</t>
  </si>
  <si>
    <t>HOJA__1__DE_1___</t>
  </si>
  <si>
    <t>GASTOS DE PERSONAL</t>
  </si>
  <si>
    <t>SERVICIOS PERSONALES INDIRECTO</t>
  </si>
  <si>
    <t>Remuneracion Servicios Técnicos</t>
  </si>
  <si>
    <t>ADQUISICION DE SERVICIOS</t>
  </si>
  <si>
    <t>Mantenimiento</t>
  </si>
  <si>
    <t>Reparaciones Locativas</t>
  </si>
  <si>
    <t>Comunicación y Transporte</t>
  </si>
  <si>
    <t>Primas y Seguros</t>
  </si>
  <si>
    <t>Imprevistos</t>
  </si>
  <si>
    <t>Materiales de Educación</t>
  </si>
  <si>
    <t>Actividades Pedagógicas, científicas, culturales y deportivas</t>
  </si>
  <si>
    <t>ADQUISICION DE BIENES</t>
  </si>
  <si>
    <t>Materiales y Suministros</t>
  </si>
  <si>
    <t>Otros: Muebles, Enseres y Equipo de Oficina</t>
  </si>
  <si>
    <t>HOJA:  1  DE  1</t>
  </si>
  <si>
    <t>HOJA:         1          DE:   1</t>
  </si>
  <si>
    <t>DE :   ENERO</t>
  </si>
  <si>
    <t>A:   DICIEMBRE</t>
  </si>
  <si>
    <t>HOJA:     1        DE:   1</t>
  </si>
  <si>
    <t>HOJA:   1  DE  1</t>
  </si>
  <si>
    <t>ENTIDAD:  +</t>
  </si>
  <si>
    <t>DE:  1</t>
  </si>
  <si>
    <t>A:  1</t>
  </si>
  <si>
    <t>X</t>
  </si>
  <si>
    <t xml:space="preserve">TIEMPO DE AMPARO: </t>
  </si>
  <si>
    <t>Rendimientos financieros</t>
  </si>
  <si>
    <t xml:space="preserve">A:DICIEMBRE </t>
  </si>
  <si>
    <t>Prestación de servicios Profesionales</t>
  </si>
  <si>
    <t>TRAN</t>
  </si>
  <si>
    <t>}</t>
  </si>
  <si>
    <t>Impresos y Publicaciones</t>
  </si>
  <si>
    <t>ENTIDAD ASEGURADORA:  MAPHRE COLOMBIA</t>
  </si>
  <si>
    <t>Municipios</t>
  </si>
  <si>
    <t>Rector</t>
  </si>
  <si>
    <t>PERIODO DE RENDICION 2023</t>
  </si>
  <si>
    <t xml:space="preserve"> </t>
  </si>
  <si>
    <t xml:space="preserve">TOMADOR  I.E. </t>
  </si>
  <si>
    <t xml:space="preserve">ASEGURADO  I.E. </t>
  </si>
  <si>
    <t>TOMADOR  I.E. TECNICA AGROPECUARIA DE SANTA CRUZ</t>
  </si>
  <si>
    <t>ASEGURADO  I.E. TECNICA AGROPECUARIA DE SANTA CRUZ</t>
  </si>
  <si>
    <t>ENTIDAD ASEGURADORA:  SOLIDARIA DE COLOMBIA</t>
  </si>
  <si>
    <t xml:space="preserve">DESDE    </t>
  </si>
  <si>
    <t>DESARROLLO COMPETENCIAS EN LOS ESTUDIANTES</t>
  </si>
  <si>
    <t>Certificados, Constancias</t>
  </si>
  <si>
    <t>PERIODO DE RENDICION:2025</t>
  </si>
  <si>
    <t>PERIODO DE RENDICION: 2025</t>
  </si>
  <si>
    <t>PERIODO DE RENDICION 2025</t>
  </si>
  <si>
    <t>PERIODO DE RENDICION  2025</t>
  </si>
  <si>
    <t>PERIODO DE RENDICION   2025</t>
  </si>
  <si>
    <t>PERIODO DE RENDICION:  2025</t>
  </si>
  <si>
    <t>PERÍODO DE RENDICIÓN:  2025</t>
  </si>
  <si>
    <t>INSTITUCIÓN EDUCATIVA  AGROPISCÍCOLA LAS COMPUERTAS</t>
  </si>
  <si>
    <t>NOMBRE REP. LEGAL EDGARDO ESPITER LOPEZ</t>
  </si>
  <si>
    <t>900678838-1</t>
  </si>
  <si>
    <t>EDGARDO ESPITER LOPEZ</t>
  </si>
  <si>
    <t>CORR LAS COMPUERTAS DEL MUNICIPIO DE MANATI</t>
  </si>
  <si>
    <t>ENTIDAD:  INSTITUCIÓN EDUCATIVA  AGROPISCÍCOLA LAS COMPUERTAS</t>
  </si>
  <si>
    <t>320 64 994000004046</t>
  </si>
  <si>
    <t>DESDE   06 MAYO. 2025     HASTA  06 MAYO.2026</t>
  </si>
  <si>
    <t>BANCOLOMBIA MAESTRA 12016746116</t>
  </si>
  <si>
    <t>BANCOLOMBIA</t>
  </si>
  <si>
    <t>BANCOLOMBIA 12027295443</t>
  </si>
  <si>
    <t>BANCOLOMBIA PAGADORA  47493327921</t>
  </si>
  <si>
    <t>2.1.2.02.02.007.04</t>
  </si>
  <si>
    <t>Gastos arrendamiento operativo</t>
  </si>
  <si>
    <t>2.1.2.02.02.007.01</t>
  </si>
  <si>
    <t>Gastos Bancarios</t>
  </si>
  <si>
    <t>CONTRALORIA DEPARTAMENTO DEL ATLANTICO</t>
  </si>
  <si>
    <t>INVENTARIO</t>
  </si>
  <si>
    <t>HOJA____DE____</t>
  </si>
  <si>
    <t>890103863-1</t>
  </si>
  <si>
    <t>PERÍODO DE RENDICIÓN:</t>
  </si>
  <si>
    <t>01-01-2025</t>
  </si>
  <si>
    <t>31-12-2025</t>
  </si>
  <si>
    <t xml:space="preserve">CODIGO </t>
  </si>
  <si>
    <t xml:space="preserve">DETALLE DEL BIEN </t>
  </si>
  <si>
    <t xml:space="preserve">FECHA DE COMPRA </t>
  </si>
  <si>
    <t>VALOR DE COMPRA</t>
  </si>
  <si>
    <t xml:space="preserve">ADICIONES </t>
  </si>
  <si>
    <t xml:space="preserve">SALDO FINAL </t>
  </si>
  <si>
    <t>VALOR GASTOS DEPRECIACION</t>
  </si>
  <si>
    <t xml:space="preserve">ESTADO </t>
  </si>
  <si>
    <t>MAQUINARIA Y EQUIPO</t>
  </si>
  <si>
    <t>EQUIPO DE LABORATORIO</t>
  </si>
  <si>
    <t>MUEBLES, ENSERES Y EQ OFICINA</t>
  </si>
  <si>
    <t xml:space="preserve">EQUIPO DE COMUNICACIÓN Y COMPUTACION </t>
  </si>
  <si>
    <t>NOTA:  Indicar el No. De poliza y fecha de vigencia que ampara los bienes</t>
  </si>
  <si>
    <t xml:space="preserve">M= Mal estado </t>
  </si>
  <si>
    <t xml:space="preserve">B=  Bueno </t>
  </si>
  <si>
    <t xml:space="preserve">  R= Regular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</si>
</sst>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84" formatCode="&quot;$&quot;\ #,##0_);[Red]\(&quot;$&quot;\ #,##0\)"/>
    <numFmt numFmtId="186" formatCode="_-* #,##0\ _$_-;\-* #,##0\ _$_-;_-* &quot;-&quot;\ _$_-;_-@_-"/>
    <numFmt numFmtId="187" formatCode="_-* #,##0.00\ &quot;$&quot;_-;\-* #,##0.00\ &quot;$&quot;_-;_-* &quot;-&quot;??\ &quot;$&quot;_-;_-@_-"/>
    <numFmt numFmtId="188" formatCode="_-* #,##0.00\ _$_-;\-* #,##0.00\ _$_-;_-* &quot;-&quot;??\ _$_-;_-@_-"/>
    <numFmt numFmtId="191" formatCode="########0"/>
    <numFmt numFmtId="192" formatCode="###,###,##0"/>
    <numFmt numFmtId="194" formatCode="_([$$-240A]\ * #,##0_);_([$$-240A]\ * \(#,##0\);_([$$-240A]\ * &quot;-&quot;_);_(@_)"/>
    <numFmt numFmtId="195" formatCode="_-[$$-240A]\ * #,##0_-;\-[$$-240A]\ * #,##0_-;_-[$$-240A]\ * &quot;-&quot;??_-;_-@_-"/>
    <numFmt numFmtId="205" formatCode="[$$-240A]\ #,##0"/>
    <numFmt numFmtId="211" formatCode="_-* #,##0\ _$_-;\-* #,##0\ _$_-;_-* &quot;-&quot;??\ _$_-;_-@_-"/>
  </numFmts>
  <fonts count="44">
    <font>
      <sz val="10"/>
      <name val="Arial"/>
      <family val="2"/>
    </font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Bookman Old Style"/>
      <family val="1"/>
    </font>
    <font>
      <b/>
      <sz val="10"/>
      <name val="Bookman Old Style"/>
      <family val="1"/>
    </font>
    <font>
      <b/>
      <sz val="12"/>
      <name val="Bookman Old Style"/>
      <family val="1"/>
    </font>
    <font>
      <sz val="11"/>
      <name val="Bookman Old Style"/>
      <family val="1"/>
    </font>
    <font>
      <b/>
      <sz val="11"/>
      <name val="Bookman Old Style"/>
      <family val="1"/>
    </font>
    <font>
      <sz val="9"/>
      <name val="Bookman Old Style"/>
      <family val="1"/>
    </font>
    <font>
      <b/>
      <sz val="9"/>
      <name val="Bookman Old Style"/>
      <family val="1"/>
    </font>
    <font>
      <u/>
      <sz val="9"/>
      <name val="Bookman Old Style"/>
      <family val="1"/>
    </font>
    <font>
      <b/>
      <sz val="11"/>
      <name val="Arial"/>
      <family val="2"/>
    </font>
    <font>
      <sz val="9"/>
      <name val="Arial"/>
      <family val="2"/>
    </font>
    <font>
      <b/>
      <sz val="14"/>
      <name val="Bookman Old Style"/>
      <family val="1"/>
    </font>
    <font>
      <sz val="14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sz val="10"/>
      <name val="Verdana"/>
      <family val="2"/>
    </font>
    <font>
      <sz val="14"/>
      <name val="Bookman Old Style"/>
      <family val="1"/>
    </font>
    <font>
      <b/>
      <sz val="10"/>
      <color indexed="8"/>
      <name val="Arial"/>
      <family val="2"/>
    </font>
    <font>
      <b/>
      <sz val="9"/>
      <color indexed="8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Bookman Old Style"/>
      <family val="1"/>
    </font>
    <font>
      <b/>
      <sz val="16"/>
      <name val="Century Gothic"/>
      <family val="2"/>
    </font>
    <font>
      <b/>
      <sz val="22"/>
      <name val="Coronet"/>
      <family val="4"/>
    </font>
    <font>
      <b/>
      <sz val="12"/>
      <name val="Century Gothic"/>
      <family val="2"/>
    </font>
    <font>
      <b/>
      <sz val="7"/>
      <name val="Arial"/>
      <family val="2"/>
    </font>
    <font>
      <b/>
      <sz val="6"/>
      <name val="Arial"/>
      <family val="2"/>
    </font>
    <font>
      <b/>
      <sz val="5"/>
      <name val="Arial"/>
      <family val="2"/>
    </font>
    <font>
      <sz val="8"/>
      <name val="Arial"/>
      <family val="2"/>
    </font>
    <font>
      <sz val="10"/>
      <name val="Arial"/>
      <family val="2"/>
    </font>
    <font>
      <sz val="7"/>
      <color indexed="8"/>
      <name val="Arial"/>
      <family val="2"/>
    </font>
    <font>
      <sz val="12"/>
      <name val="Bookman Old Style"/>
      <family val="1"/>
    </font>
    <font>
      <sz val="11"/>
      <color indexed="8"/>
      <name val="Arial"/>
      <family val="2"/>
    </font>
    <font>
      <sz val="7"/>
      <name val="Arial"/>
      <family val="2"/>
    </font>
    <font>
      <sz val="10"/>
      <name val="Courier New"/>
      <family val="3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color rgb="FF000000"/>
      <name val="Arial"/>
      <family val="2"/>
    </font>
    <font>
      <sz val="8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</fills>
  <borders count="184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/>
      <diagonal/>
    </border>
    <border>
      <left style="medium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/>
      <top style="medium">
        <color indexed="64"/>
      </top>
      <bottom/>
      <diagonal/>
    </border>
    <border>
      <left/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/>
      <bottom style="thin">
        <color indexed="64"/>
      </bottom>
      <diagonal/>
    </border>
    <border>
      <left style="medium">
        <color indexed="8"/>
      </left>
      <right/>
      <top/>
      <bottom style="thin">
        <color indexed="64"/>
      </bottom>
      <diagonal/>
    </border>
    <border>
      <left/>
      <right style="medium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/>
      <right style="medium">
        <color indexed="8"/>
      </right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8"/>
      </left>
      <right/>
      <top style="medium">
        <color indexed="64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188" fontId="1" fillId="0" borderId="0" applyFill="0" applyBorder="0" applyAlignment="0" applyProtection="0"/>
    <xf numFmtId="186" fontId="1" fillId="0" borderId="0" applyFill="0" applyBorder="0" applyAlignment="0" applyProtection="0"/>
    <xf numFmtId="187" fontId="1" fillId="0" borderId="0" applyFill="0" applyBorder="0" applyAlignment="0" applyProtection="0"/>
    <xf numFmtId="0" fontId="1" fillId="0" borderId="0"/>
    <xf numFmtId="0" fontId="40" fillId="0" borderId="0"/>
    <xf numFmtId="0" fontId="34" fillId="0" borderId="0"/>
  </cellStyleXfs>
  <cellXfs count="1175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0" borderId="1" xfId="0" applyFont="1" applyBorder="1"/>
    <xf numFmtId="0" fontId="4" fillId="0" borderId="2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 applyAlignment="1">
      <alignment horizontal="left"/>
    </xf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5" xfId="0" applyFont="1" applyBorder="1" applyAlignment="1">
      <alignment horizontal="center"/>
    </xf>
    <xf numFmtId="0" fontId="4" fillId="0" borderId="5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4" xfId="0" applyFont="1" applyBorder="1"/>
    <xf numFmtId="0" fontId="4" fillId="0" borderId="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1" xfId="0" applyFont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6" fillId="0" borderId="1" xfId="0" applyFont="1" applyBorder="1"/>
    <xf numFmtId="0" fontId="6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26" xfId="0" applyBorder="1"/>
    <xf numFmtId="0" fontId="6" fillId="0" borderId="0" xfId="0" applyFont="1" applyBorder="1"/>
    <xf numFmtId="0" fontId="0" fillId="0" borderId="27" xfId="0" applyBorder="1"/>
    <xf numFmtId="0" fontId="0" fillId="0" borderId="7" xfId="0" applyBorder="1"/>
    <xf numFmtId="0" fontId="6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26" xfId="0" applyFont="1" applyBorder="1" applyAlignment="1">
      <alignment horizontal="left"/>
    </xf>
    <xf numFmtId="0" fontId="4" fillId="0" borderId="0" xfId="0" applyFont="1" applyBorder="1"/>
    <xf numFmtId="0" fontId="0" fillId="0" borderId="27" xfId="0" applyFont="1" applyBorder="1" applyAlignment="1">
      <alignment horizontal="right"/>
    </xf>
    <xf numFmtId="0" fontId="4" fillId="0" borderId="27" xfId="0" applyFont="1" applyBorder="1" applyAlignment="1">
      <alignment horizontal="right"/>
    </xf>
    <xf numFmtId="0" fontId="4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7" fillId="0" borderId="0" xfId="0" applyFont="1" applyBorder="1"/>
    <xf numFmtId="0" fontId="8" fillId="0" borderId="0" xfId="0" applyFont="1" applyBorder="1"/>
    <xf numFmtId="0" fontId="10" fillId="0" borderId="0" xfId="0" applyFont="1" applyBorder="1"/>
    <xf numFmtId="0" fontId="11" fillId="0" borderId="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7" fillId="0" borderId="2" xfId="0" applyFont="1" applyBorder="1"/>
    <xf numFmtId="0" fontId="7" fillId="0" borderId="3" xfId="0" applyFont="1" applyBorder="1"/>
    <xf numFmtId="0" fontId="11" fillId="0" borderId="26" xfId="0" applyFont="1" applyBorder="1"/>
    <xf numFmtId="0" fontId="11" fillId="0" borderId="0" xfId="0" applyFont="1" applyBorder="1"/>
    <xf numFmtId="0" fontId="8" fillId="0" borderId="7" xfId="0" applyFont="1" applyBorder="1"/>
    <xf numFmtId="0" fontId="8" fillId="0" borderId="8" xfId="0" applyFont="1" applyBorder="1"/>
    <xf numFmtId="0" fontId="7" fillId="0" borderId="9" xfId="0" applyFont="1" applyBorder="1"/>
    <xf numFmtId="0" fontId="7" fillId="0" borderId="1" xfId="0" applyFont="1" applyBorder="1"/>
    <xf numFmtId="0" fontId="7" fillId="0" borderId="7" xfId="0" applyFont="1" applyBorder="1"/>
    <xf numFmtId="0" fontId="7" fillId="0" borderId="8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0" xfId="0" applyFont="1" applyAlignment="1">
      <alignment horizontal="center"/>
    </xf>
    <xf numFmtId="0" fontId="12" fillId="0" borderId="10" xfId="0" applyFont="1" applyBorder="1"/>
    <xf numFmtId="0" fontId="13" fillId="0" borderId="1" xfId="0" applyFont="1" applyBorder="1" applyAlignment="1">
      <alignment horizontal="center"/>
    </xf>
    <xf numFmtId="0" fontId="13" fillId="0" borderId="10" xfId="0" applyFont="1" applyBorder="1"/>
    <xf numFmtId="0" fontId="13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10" xfId="0" applyFont="1" applyBorder="1" applyAlignment="1">
      <alignment horizontal="left"/>
    </xf>
    <xf numFmtId="0" fontId="13" fillId="0" borderId="2" xfId="0" applyFont="1" applyBorder="1"/>
    <xf numFmtId="0" fontId="13" fillId="0" borderId="4" xfId="0" applyFont="1" applyBorder="1" applyAlignment="1">
      <alignment horizontal="left"/>
    </xf>
    <xf numFmtId="0" fontId="12" fillId="0" borderId="5" xfId="0" applyFont="1" applyBorder="1" applyAlignment="1">
      <alignment horizontal="left"/>
    </xf>
    <xf numFmtId="0" fontId="12" fillId="0" borderId="6" xfId="0" applyFont="1" applyBorder="1" applyAlignment="1">
      <alignment horizontal="left"/>
    </xf>
    <xf numFmtId="0" fontId="13" fillId="0" borderId="10" xfId="0" applyFont="1" applyBorder="1" applyAlignment="1">
      <alignment horizontal="center"/>
    </xf>
    <xf numFmtId="0" fontId="13" fillId="0" borderId="3" xfId="0" applyFont="1" applyBorder="1"/>
    <xf numFmtId="0" fontId="13" fillId="0" borderId="28" xfId="0" applyFont="1" applyBorder="1"/>
    <xf numFmtId="0" fontId="12" fillId="0" borderId="19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8" xfId="0" applyFont="1" applyBorder="1"/>
    <xf numFmtId="0" fontId="13" fillId="0" borderId="8" xfId="0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12" fillId="0" borderId="29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/>
    </xf>
    <xf numFmtId="0" fontId="13" fillId="0" borderId="9" xfId="0" applyFont="1" applyBorder="1" applyAlignment="1">
      <alignment horizontal="left"/>
    </xf>
    <xf numFmtId="0" fontId="13" fillId="0" borderId="0" xfId="0" applyFont="1" applyBorder="1"/>
    <xf numFmtId="0" fontId="12" fillId="0" borderId="31" xfId="0" applyFont="1" applyBorder="1"/>
    <xf numFmtId="0" fontId="13" fillId="0" borderId="27" xfId="0" applyFont="1" applyBorder="1"/>
    <xf numFmtId="0" fontId="12" fillId="0" borderId="32" xfId="0" applyFont="1" applyBorder="1"/>
    <xf numFmtId="0" fontId="12" fillId="0" borderId="33" xfId="0" applyFont="1" applyBorder="1"/>
    <xf numFmtId="0" fontId="12" fillId="0" borderId="34" xfId="0" applyFont="1" applyBorder="1"/>
    <xf numFmtId="0" fontId="12" fillId="0" borderId="35" xfId="0" applyFont="1" applyBorder="1"/>
    <xf numFmtId="0" fontId="12" fillId="0" borderId="12" xfId="0" applyFont="1" applyBorder="1"/>
    <xf numFmtId="0" fontId="12" fillId="0" borderId="15" xfId="0" applyFont="1" applyBorder="1"/>
    <xf numFmtId="0" fontId="12" fillId="0" borderId="16" xfId="0" applyFont="1" applyBorder="1"/>
    <xf numFmtId="0" fontId="12" fillId="0" borderId="17" xfId="0" applyFont="1" applyBorder="1"/>
    <xf numFmtId="0" fontId="12" fillId="0" borderId="18" xfId="0" applyFont="1" applyBorder="1"/>
    <xf numFmtId="0" fontId="12" fillId="0" borderId="20" xfId="0" applyFont="1" applyBorder="1"/>
    <xf numFmtId="0" fontId="13" fillId="0" borderId="17" xfId="0" applyFont="1" applyBorder="1"/>
    <xf numFmtId="0" fontId="12" fillId="0" borderId="21" xfId="0" applyFont="1" applyBorder="1"/>
    <xf numFmtId="0" fontId="12" fillId="0" borderId="22" xfId="0" applyFont="1" applyBorder="1"/>
    <xf numFmtId="0" fontId="12" fillId="0" borderId="23" xfId="0" applyFont="1" applyBorder="1"/>
    <xf numFmtId="0" fontId="12" fillId="0" borderId="25" xfId="0" applyFont="1" applyBorder="1"/>
    <xf numFmtId="0" fontId="12" fillId="0" borderId="1" xfId="0" applyFont="1" applyBorder="1"/>
    <xf numFmtId="0" fontId="12" fillId="0" borderId="2" xfId="0" applyFont="1" applyBorder="1"/>
    <xf numFmtId="0" fontId="14" fillId="0" borderId="2" xfId="0" applyFont="1" applyBorder="1"/>
    <xf numFmtId="0" fontId="12" fillId="0" borderId="3" xfId="0" applyFont="1" applyBorder="1"/>
    <xf numFmtId="0" fontId="12" fillId="0" borderId="26" xfId="0" applyFont="1" applyBorder="1"/>
    <xf numFmtId="0" fontId="12" fillId="0" borderId="0" xfId="0" applyFont="1" applyBorder="1"/>
    <xf numFmtId="0" fontId="14" fillId="0" borderId="0" xfId="0" applyFont="1" applyBorder="1"/>
    <xf numFmtId="0" fontId="12" fillId="0" borderId="27" xfId="0" applyFont="1" applyBorder="1"/>
    <xf numFmtId="0" fontId="13" fillId="0" borderId="26" xfId="0" applyFont="1" applyBorder="1"/>
    <xf numFmtId="0" fontId="8" fillId="0" borderId="27" xfId="0" applyFont="1" applyBorder="1"/>
    <xf numFmtId="0" fontId="12" fillId="0" borderId="7" xfId="0" applyFont="1" applyBorder="1"/>
    <xf numFmtId="0" fontId="12" fillId="0" borderId="9" xfId="0" applyFont="1" applyBorder="1"/>
    <xf numFmtId="0" fontId="12" fillId="0" borderId="0" xfId="0" applyFont="1"/>
    <xf numFmtId="0" fontId="13" fillId="0" borderId="0" xfId="0" applyFont="1"/>
    <xf numFmtId="0" fontId="15" fillId="0" borderId="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8" fillId="0" borderId="1" xfId="0" applyFont="1" applyBorder="1"/>
    <xf numFmtId="0" fontId="8" fillId="0" borderId="2" xfId="0" applyFont="1" applyBorder="1"/>
    <xf numFmtId="0" fontId="8" fillId="0" borderId="1" xfId="0" applyFont="1" applyBorder="1" applyAlignment="1">
      <alignment horizontal="left"/>
    </xf>
    <xf numFmtId="0" fontId="8" fillId="0" borderId="36" xfId="0" applyFont="1" applyBorder="1" applyAlignment="1">
      <alignment horizontal="center"/>
    </xf>
    <xf numFmtId="0" fontId="8" fillId="0" borderId="10" xfId="0" applyFont="1" applyBorder="1"/>
    <xf numFmtId="0" fontId="8" fillId="0" borderId="7" xfId="0" applyFont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8" fillId="0" borderId="11" xfId="0" applyFont="1" applyBorder="1"/>
    <xf numFmtId="0" fontId="8" fillId="0" borderId="6" xfId="0" applyFont="1" applyBorder="1"/>
    <xf numFmtId="0" fontId="8" fillId="0" borderId="28" xfId="0" applyFont="1" applyBorder="1"/>
    <xf numFmtId="0" fontId="5" fillId="0" borderId="1" xfId="0" applyFont="1" applyBorder="1"/>
    <xf numFmtId="0" fontId="5" fillId="0" borderId="10" xfId="0" applyFont="1" applyBorder="1"/>
    <xf numFmtId="0" fontId="16" fillId="0" borderId="0" xfId="0" applyFont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26" xfId="0" applyFont="1" applyBorder="1"/>
    <xf numFmtId="0" fontId="5" fillId="0" borderId="11" xfId="0" applyFont="1" applyBorder="1"/>
    <xf numFmtId="0" fontId="5" fillId="0" borderId="32" xfId="0" applyFont="1" applyBorder="1"/>
    <xf numFmtId="0" fontId="5" fillId="0" borderId="33" xfId="0" applyFont="1" applyBorder="1"/>
    <xf numFmtId="0" fontId="5" fillId="0" borderId="34" xfId="0" applyFont="1" applyBorder="1"/>
    <xf numFmtId="0" fontId="5" fillId="0" borderId="7" xfId="0" applyFont="1" applyBorder="1" applyAlignment="1">
      <alignment horizontal="center"/>
    </xf>
    <xf numFmtId="0" fontId="5" fillId="0" borderId="28" xfId="0" applyFont="1" applyBorder="1"/>
    <xf numFmtId="0" fontId="0" fillId="0" borderId="33" xfId="0" applyBorder="1"/>
    <xf numFmtId="0" fontId="0" fillId="0" borderId="37" xfId="0" applyBorder="1"/>
    <xf numFmtId="0" fontId="7" fillId="0" borderId="17" xfId="0" applyFont="1" applyBorder="1"/>
    <xf numFmtId="0" fontId="17" fillId="0" borderId="0" xfId="0" applyFont="1" applyBorder="1" applyAlignment="1">
      <alignment horizontal="center"/>
    </xf>
    <xf numFmtId="0" fontId="9" fillId="0" borderId="1" xfId="0" applyFont="1" applyBorder="1"/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9" fillId="0" borderId="7" xfId="0" applyFont="1" applyBorder="1"/>
    <xf numFmtId="0" fontId="9" fillId="0" borderId="8" xfId="0" applyFont="1" applyBorder="1"/>
    <xf numFmtId="0" fontId="13" fillId="0" borderId="8" xfId="0" applyFont="1" applyBorder="1"/>
    <xf numFmtId="0" fontId="13" fillId="0" borderId="9" xfId="0" applyFont="1" applyBorder="1"/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11" fillId="0" borderId="5" xfId="0" applyFont="1" applyBorder="1"/>
    <xf numFmtId="0" fontId="11" fillId="0" borderId="7" xfId="0" applyFont="1" applyBorder="1"/>
    <xf numFmtId="0" fontId="11" fillId="0" borderId="8" xfId="0" applyFont="1" applyBorder="1"/>
    <xf numFmtId="0" fontId="11" fillId="0" borderId="27" xfId="0" applyFont="1" applyBorder="1"/>
    <xf numFmtId="0" fontId="11" fillId="0" borderId="4" xfId="0" applyFont="1" applyBorder="1"/>
    <xf numFmtId="0" fontId="11" fillId="0" borderId="9" xfId="0" applyFont="1" applyBorder="1"/>
    <xf numFmtId="0" fontId="13" fillId="0" borderId="38" xfId="0" applyFont="1" applyBorder="1"/>
    <xf numFmtId="0" fontId="13" fillId="0" borderId="39" xfId="0" applyFont="1" applyBorder="1"/>
    <xf numFmtId="0" fontId="11" fillId="0" borderId="10" xfId="0" applyFont="1" applyBorder="1" applyAlignment="1">
      <alignment horizontal="center"/>
    </xf>
    <xf numFmtId="0" fontId="11" fillId="0" borderId="10" xfId="0" applyFont="1" applyBorder="1"/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11" fillId="0" borderId="38" xfId="0" applyFont="1" applyBorder="1"/>
    <xf numFmtId="0" fontId="11" fillId="0" borderId="11" xfId="0" applyFont="1" applyBorder="1"/>
    <xf numFmtId="0" fontId="11" fillId="0" borderId="11" xfId="0" applyFont="1" applyBorder="1" applyAlignment="1">
      <alignment horizontal="center"/>
    </xf>
    <xf numFmtId="0" fontId="11" fillId="0" borderId="26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1" fillId="0" borderId="40" xfId="0" applyFont="1" applyBorder="1" applyAlignment="1">
      <alignment horizontal="center"/>
    </xf>
    <xf numFmtId="0" fontId="11" fillId="0" borderId="41" xfId="0" applyFont="1" applyBorder="1" applyAlignment="1">
      <alignment horizontal="center"/>
    </xf>
    <xf numFmtId="0" fontId="11" fillId="0" borderId="42" xfId="0" applyFont="1" applyBorder="1" applyAlignment="1">
      <alignment horizontal="center"/>
    </xf>
    <xf numFmtId="0" fontId="11" fillId="0" borderId="40" xfId="0" applyFont="1" applyBorder="1"/>
    <xf numFmtId="0" fontId="11" fillId="0" borderId="39" xfId="0" applyFont="1" applyBorder="1"/>
    <xf numFmtId="0" fontId="13" fillId="0" borderId="12" xfId="0" applyFont="1" applyBorder="1"/>
    <xf numFmtId="0" fontId="9" fillId="0" borderId="12" xfId="0" applyFont="1" applyBorder="1"/>
    <xf numFmtId="0" fontId="11" fillId="0" borderId="12" xfId="0" applyFont="1" applyBorder="1"/>
    <xf numFmtId="0" fontId="13" fillId="0" borderId="13" xfId="0" applyFont="1" applyBorder="1"/>
    <xf numFmtId="0" fontId="13" fillId="0" borderId="18" xfId="0" applyFont="1" applyBorder="1"/>
    <xf numFmtId="0" fontId="13" fillId="0" borderId="19" xfId="0" applyFont="1" applyBorder="1"/>
    <xf numFmtId="0" fontId="9" fillId="0" borderId="16" xfId="0" applyFont="1" applyBorder="1"/>
    <xf numFmtId="0" fontId="9" fillId="0" borderId="17" xfId="0" applyFont="1" applyBorder="1"/>
    <xf numFmtId="0" fontId="13" fillId="0" borderId="34" xfId="0" applyFont="1" applyBorder="1"/>
    <xf numFmtId="0" fontId="13" fillId="0" borderId="43" xfId="0" applyFont="1" applyBorder="1"/>
    <xf numFmtId="0" fontId="13" fillId="0" borderId="44" xfId="0" applyFont="1" applyBorder="1"/>
    <xf numFmtId="0" fontId="9" fillId="0" borderId="45" xfId="0" applyFont="1" applyBorder="1"/>
    <xf numFmtId="0" fontId="9" fillId="0" borderId="44" xfId="0" applyFont="1" applyBorder="1"/>
    <xf numFmtId="0" fontId="13" fillId="0" borderId="46" xfId="0" applyFont="1" applyBorder="1"/>
    <xf numFmtId="0" fontId="13" fillId="0" borderId="47" xfId="0" applyFont="1" applyBorder="1"/>
    <xf numFmtId="0" fontId="9" fillId="0" borderId="33" xfId="0" applyFont="1" applyBorder="1"/>
    <xf numFmtId="0" fontId="13" fillId="0" borderId="33" xfId="0" applyFont="1" applyBorder="1"/>
    <xf numFmtId="0" fontId="9" fillId="0" borderId="21" xfId="0" applyFont="1" applyBorder="1"/>
    <xf numFmtId="0" fontId="13" fillId="0" borderId="22" xfId="0" applyFont="1" applyBorder="1"/>
    <xf numFmtId="0" fontId="9" fillId="0" borderId="22" xfId="0" applyFont="1" applyBorder="1"/>
    <xf numFmtId="0" fontId="13" fillId="0" borderId="23" xfId="0" applyFont="1" applyBorder="1"/>
    <xf numFmtId="0" fontId="13" fillId="0" borderId="1" xfId="0" applyFont="1" applyBorder="1"/>
    <xf numFmtId="0" fontId="13" fillId="0" borderId="7" xfId="0" applyFont="1" applyBorder="1"/>
    <xf numFmtId="0" fontId="8" fillId="0" borderId="0" xfId="0" applyFont="1" applyBorder="1" applyAlignment="1">
      <alignment horizontal="center"/>
    </xf>
    <xf numFmtId="0" fontId="8" fillId="0" borderId="3" xfId="0" applyFont="1" applyBorder="1"/>
    <xf numFmtId="0" fontId="8" fillId="0" borderId="26" xfId="0" applyFont="1" applyBorder="1"/>
    <xf numFmtId="0" fontId="8" fillId="0" borderId="26" xfId="0" applyFont="1" applyBorder="1" applyAlignment="1">
      <alignment horizontal="left"/>
    </xf>
    <xf numFmtId="0" fontId="8" fillId="0" borderId="9" xfId="0" applyFont="1" applyBorder="1"/>
    <xf numFmtId="0" fontId="8" fillId="0" borderId="10" xfId="0" applyFont="1" applyFill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0" xfId="0" applyFont="1"/>
    <xf numFmtId="0" fontId="8" fillId="0" borderId="11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32" xfId="0" applyFont="1" applyBorder="1"/>
    <xf numFmtId="0" fontId="8" fillId="0" borderId="33" xfId="0" applyFont="1" applyBorder="1"/>
    <xf numFmtId="0" fontId="8" fillId="0" borderId="47" xfId="0" applyFont="1" applyBorder="1"/>
    <xf numFmtId="0" fontId="8" fillId="0" borderId="16" xfId="0" applyFont="1" applyBorder="1"/>
    <xf numFmtId="0" fontId="8" fillId="0" borderId="17" xfId="0" applyFont="1" applyBorder="1"/>
    <xf numFmtId="0" fontId="8" fillId="0" borderId="18" xfId="0" applyFont="1" applyBorder="1"/>
    <xf numFmtId="0" fontId="8" fillId="0" borderId="20" xfId="0" applyFont="1" applyBorder="1"/>
    <xf numFmtId="0" fontId="8" fillId="0" borderId="39" xfId="0" applyFont="1" applyBorder="1"/>
    <xf numFmtId="0" fontId="13" fillId="0" borderId="16" xfId="0" applyFont="1" applyBorder="1"/>
    <xf numFmtId="0" fontId="13" fillId="0" borderId="20" xfId="0" applyFont="1" applyBorder="1"/>
    <xf numFmtId="0" fontId="0" fillId="0" borderId="39" xfId="0" applyBorder="1"/>
    <xf numFmtId="0" fontId="0" fillId="0" borderId="43" xfId="0" applyBorder="1"/>
    <xf numFmtId="0" fontId="0" fillId="0" borderId="1" xfId="0" applyBorder="1"/>
    <xf numFmtId="0" fontId="2" fillId="0" borderId="0" xfId="0" applyFont="1" applyBorder="1"/>
    <xf numFmtId="0" fontId="18" fillId="0" borderId="0" xfId="0" applyFont="1" applyBorder="1"/>
    <xf numFmtId="0" fontId="19" fillId="0" borderId="0" xfId="0" applyFont="1" applyBorder="1"/>
    <xf numFmtId="0" fontId="2" fillId="0" borderId="1" xfId="0" applyFont="1" applyBorder="1" applyAlignment="1"/>
    <xf numFmtId="0" fontId="2" fillId="0" borderId="2" xfId="0" applyFont="1" applyBorder="1" applyAlignment="1"/>
    <xf numFmtId="0" fontId="3" fillId="0" borderId="2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2" fillId="0" borderId="26" xfId="0" applyFont="1" applyBorder="1"/>
    <xf numFmtId="0" fontId="3" fillId="0" borderId="0" xfId="0" applyFont="1" applyBorder="1"/>
    <xf numFmtId="0" fontId="3" fillId="0" borderId="7" xfId="0" applyFont="1" applyBorder="1"/>
    <xf numFmtId="0" fontId="3" fillId="0" borderId="8" xfId="0" applyFont="1" applyBorder="1"/>
    <xf numFmtId="0" fontId="0" fillId="0" borderId="5" xfId="0" applyBorder="1"/>
    <xf numFmtId="0" fontId="3" fillId="0" borderId="5" xfId="0" applyFont="1" applyBorder="1"/>
    <xf numFmtId="0" fontId="0" fillId="0" borderId="6" xfId="0" applyBorder="1"/>
    <xf numFmtId="0" fontId="0" fillId="0" borderId="1" xfId="0" applyFont="1" applyBorder="1" applyAlignment="1">
      <alignment horizontal="left"/>
    </xf>
    <xf numFmtId="0" fontId="20" fillId="0" borderId="3" xfId="0" applyFont="1" applyBorder="1" applyAlignment="1">
      <alignment horizontal="left"/>
    </xf>
    <xf numFmtId="0" fontId="15" fillId="0" borderId="10" xfId="0" applyFont="1" applyBorder="1"/>
    <xf numFmtId="0" fontId="0" fillId="0" borderId="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2" xfId="0" applyFont="1" applyBorder="1"/>
    <xf numFmtId="0" fontId="20" fillId="0" borderId="2" xfId="0" applyFont="1" applyBorder="1"/>
    <xf numFmtId="0" fontId="20" fillId="0" borderId="2" xfId="0" applyFont="1" applyBorder="1" applyAlignment="1">
      <alignment horizontal="center"/>
    </xf>
    <xf numFmtId="0" fontId="15" fillId="0" borderId="1" xfId="0" applyFont="1" applyBorder="1"/>
    <xf numFmtId="0" fontId="15" fillId="0" borderId="0" xfId="0" applyFont="1" applyBorder="1" applyAlignment="1">
      <alignment horizontal="left"/>
    </xf>
    <xf numFmtId="0" fontId="15" fillId="0" borderId="0" xfId="0" applyFont="1" applyBorder="1"/>
    <xf numFmtId="0" fontId="20" fillId="0" borderId="0" xfId="0" applyFont="1" applyBorder="1"/>
    <xf numFmtId="0" fontId="20" fillId="0" borderId="0" xfId="0" applyFont="1" applyBorder="1" applyAlignment="1">
      <alignment horizontal="center"/>
    </xf>
    <xf numFmtId="0" fontId="0" fillId="0" borderId="0" xfId="0" applyFont="1" applyBorder="1"/>
    <xf numFmtId="0" fontId="20" fillId="0" borderId="26" xfId="0" applyFont="1" applyBorder="1" applyAlignment="1">
      <alignment horizontal="right"/>
    </xf>
    <xf numFmtId="0" fontId="15" fillId="0" borderId="11" xfId="0" applyFont="1" applyBorder="1"/>
    <xf numFmtId="0" fontId="0" fillId="0" borderId="26" xfId="0" applyFont="1" applyBorder="1" applyAlignment="1">
      <alignment horizontal="left"/>
    </xf>
    <xf numFmtId="0" fontId="0" fillId="0" borderId="0" xfId="0" applyFont="1" applyBorder="1" applyAlignment="1"/>
    <xf numFmtId="0" fontId="15" fillId="0" borderId="26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15" fillId="0" borderId="11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0" fillId="0" borderId="21" xfId="0" applyFont="1" applyBorder="1" applyAlignment="1">
      <alignment horizontal="left"/>
    </xf>
    <xf numFmtId="0" fontId="0" fillId="0" borderId="22" xfId="0" applyFont="1" applyBorder="1" applyAlignment="1">
      <alignment horizontal="left"/>
    </xf>
    <xf numFmtId="0" fontId="0" fillId="0" borderId="23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9" xfId="0" applyFont="1" applyBorder="1" applyAlignment="1">
      <alignment horizontal="right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28" xfId="0" applyBorder="1"/>
    <xf numFmtId="0" fontId="0" fillId="0" borderId="8" xfId="0" applyFont="1" applyBorder="1" applyAlignment="1"/>
    <xf numFmtId="0" fontId="0" fillId="0" borderId="0" xfId="0" applyBorder="1" applyAlignment="1">
      <alignment horizontal="center"/>
    </xf>
    <xf numFmtId="0" fontId="4" fillId="0" borderId="28" xfId="0" applyFont="1" applyBorder="1"/>
    <xf numFmtId="0" fontId="4" fillId="0" borderId="0" xfId="0" applyFont="1" applyBorder="1" applyAlignment="1">
      <alignment horizontal="center"/>
    </xf>
    <xf numFmtId="0" fontId="0" fillId="0" borderId="32" xfId="0" applyBorder="1"/>
    <xf numFmtId="0" fontId="0" fillId="0" borderId="34" xfId="0" applyBorder="1"/>
    <xf numFmtId="0" fontId="0" fillId="0" borderId="45" xfId="0" applyBorder="1"/>
    <xf numFmtId="0" fontId="0" fillId="0" borderId="44" xfId="0" applyBorder="1"/>
    <xf numFmtId="0" fontId="0" fillId="0" borderId="46" xfId="0" applyBorder="1"/>
    <xf numFmtId="0" fontId="0" fillId="0" borderId="51" xfId="0" applyBorder="1"/>
    <xf numFmtId="0" fontId="20" fillId="0" borderId="21" xfId="0" applyFont="1" applyBorder="1"/>
    <xf numFmtId="0" fontId="20" fillId="0" borderId="22" xfId="0" applyFont="1" applyBorder="1"/>
    <xf numFmtId="0" fontId="15" fillId="0" borderId="22" xfId="0" applyFont="1" applyBorder="1"/>
    <xf numFmtId="0" fontId="20" fillId="0" borderId="22" xfId="0" applyFont="1" applyBorder="1" applyAlignment="1">
      <alignment horizontal="center"/>
    </xf>
    <xf numFmtId="0" fontId="15" fillId="0" borderId="22" xfId="0" applyFont="1" applyFill="1" applyBorder="1" applyAlignment="1">
      <alignment horizontal="center"/>
    </xf>
    <xf numFmtId="0" fontId="4" fillId="0" borderId="22" xfId="0" applyFont="1" applyBorder="1"/>
    <xf numFmtId="0" fontId="0" fillId="0" borderId="22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4" fillId="0" borderId="0" xfId="0" applyFont="1" applyBorder="1" applyAlignment="1"/>
    <xf numFmtId="0" fontId="20" fillId="0" borderId="26" xfId="0" applyFont="1" applyBorder="1"/>
    <xf numFmtId="0" fontId="0" fillId="0" borderId="0" xfId="0" applyFill="1" applyBorder="1"/>
    <xf numFmtId="0" fontId="0" fillId="0" borderId="3" xfId="0" applyFont="1" applyBorder="1"/>
    <xf numFmtId="0" fontId="4" fillId="0" borderId="2" xfId="0" applyFont="1" applyBorder="1" applyAlignment="1"/>
    <xf numFmtId="0" fontId="4" fillId="0" borderId="3" xfId="0" applyFont="1" applyBorder="1" applyAlignment="1"/>
    <xf numFmtId="0" fontId="0" fillId="0" borderId="42" xfId="0" applyBorder="1"/>
    <xf numFmtId="0" fontId="6" fillId="0" borderId="0" xfId="0" applyFont="1" applyBorder="1" applyAlignment="1">
      <alignment horizontal="center"/>
    </xf>
    <xf numFmtId="0" fontId="0" fillId="0" borderId="27" xfId="0" applyFont="1" applyBorder="1"/>
    <xf numFmtId="0" fontId="4" fillId="0" borderId="27" xfId="0" applyFont="1" applyBorder="1" applyAlignment="1"/>
    <xf numFmtId="0" fontId="4" fillId="0" borderId="52" xfId="0" applyFont="1" applyBorder="1" applyAlignment="1">
      <alignment horizontal="center"/>
    </xf>
    <xf numFmtId="0" fontId="4" fillId="0" borderId="53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0" fillId="0" borderId="9" xfId="0" applyFont="1" applyBorder="1"/>
    <xf numFmtId="0" fontId="0" fillId="0" borderId="8" xfId="0" applyFont="1" applyBorder="1" applyAlignment="1">
      <alignment horizontal="left"/>
    </xf>
    <xf numFmtId="0" fontId="6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4" fillId="0" borderId="54" xfId="0" applyFont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13" fillId="0" borderId="56" xfId="0" applyFont="1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3" fillId="0" borderId="58" xfId="0" applyFont="1" applyBorder="1"/>
    <xf numFmtId="0" fontId="13" fillId="0" borderId="59" xfId="0" applyFont="1" applyBorder="1"/>
    <xf numFmtId="0" fontId="13" fillId="0" borderId="61" xfId="0" applyFont="1" applyBorder="1"/>
    <xf numFmtId="0" fontId="13" fillId="0" borderId="62" xfId="0" applyFont="1" applyBorder="1"/>
    <xf numFmtId="0" fontId="0" fillId="0" borderId="62" xfId="0" applyBorder="1"/>
    <xf numFmtId="0" fontId="0" fillId="0" borderId="63" xfId="0" applyBorder="1"/>
    <xf numFmtId="0" fontId="13" fillId="0" borderId="64" xfId="0" applyFont="1" applyBorder="1"/>
    <xf numFmtId="0" fontId="13" fillId="0" borderId="65" xfId="0" applyFont="1" applyBorder="1"/>
    <xf numFmtId="0" fontId="0" fillId="0" borderId="65" xfId="0" applyBorder="1"/>
    <xf numFmtId="0" fontId="0" fillId="0" borderId="66" xfId="0" applyBorder="1"/>
    <xf numFmtId="0" fontId="4" fillId="0" borderId="26" xfId="0" applyFont="1" applyBorder="1"/>
    <xf numFmtId="0" fontId="4" fillId="0" borderId="27" xfId="0" applyFont="1" applyBorder="1"/>
    <xf numFmtId="0" fontId="0" fillId="2" borderId="0" xfId="0" applyFill="1"/>
    <xf numFmtId="0" fontId="7" fillId="2" borderId="0" xfId="0" applyFont="1" applyFill="1"/>
    <xf numFmtId="0" fontId="19" fillId="2" borderId="0" xfId="0" applyFont="1" applyFill="1"/>
    <xf numFmtId="0" fontId="20" fillId="2" borderId="0" xfId="0" applyFont="1" applyFill="1"/>
    <xf numFmtId="0" fontId="10" fillId="2" borderId="0" xfId="0" applyFont="1" applyFill="1"/>
    <xf numFmtId="0" fontId="10" fillId="2" borderId="0" xfId="0" applyFont="1" applyFill="1" applyBorder="1"/>
    <xf numFmtId="0" fontId="10" fillId="2" borderId="8" xfId="0" applyFont="1" applyFill="1" applyBorder="1"/>
    <xf numFmtId="0" fontId="11" fillId="2" borderId="0" xfId="0" applyFont="1" applyFill="1"/>
    <xf numFmtId="0" fontId="11" fillId="2" borderId="0" xfId="0" applyFont="1" applyFill="1" applyBorder="1"/>
    <xf numFmtId="0" fontId="0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0" fillId="2" borderId="2" xfId="0" applyFont="1" applyFill="1" applyBorder="1"/>
    <xf numFmtId="0" fontId="11" fillId="2" borderId="26" xfId="0" applyFont="1" applyFill="1" applyBorder="1"/>
    <xf numFmtId="0" fontId="7" fillId="2" borderId="0" xfId="0" applyFont="1" applyFill="1" applyBorder="1"/>
    <xf numFmtId="0" fontId="0" fillId="2" borderId="0" xfId="0" applyFill="1" applyBorder="1"/>
    <xf numFmtId="0" fontId="0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0" fillId="2" borderId="0" xfId="0" applyFont="1" applyFill="1" applyBorder="1"/>
    <xf numFmtId="0" fontId="2" fillId="2" borderId="0" xfId="0" applyFont="1" applyFill="1" applyBorder="1" applyAlignment="1">
      <alignment horizontal="center"/>
    </xf>
    <xf numFmtId="0" fontId="4" fillId="2" borderId="0" xfId="0" applyFont="1" applyFill="1" applyBorder="1"/>
    <xf numFmtId="0" fontId="21" fillId="2" borderId="0" xfId="0" applyFont="1" applyFill="1" applyBorder="1"/>
    <xf numFmtId="0" fontId="4" fillId="2" borderId="10" xfId="0" applyFont="1" applyFill="1" applyBorder="1"/>
    <xf numFmtId="0" fontId="4" fillId="2" borderId="3" xfId="0" applyFont="1" applyFill="1" applyBorder="1"/>
    <xf numFmtId="0" fontId="4" fillId="2" borderId="28" xfId="0" applyFont="1" applyFill="1" applyBorder="1"/>
    <xf numFmtId="0" fontId="4" fillId="2" borderId="27" xfId="0" applyFont="1" applyFill="1" applyBorder="1"/>
    <xf numFmtId="0" fontId="4" fillId="2" borderId="11" xfId="0" applyFont="1" applyFill="1" applyBorder="1"/>
    <xf numFmtId="0" fontId="4" fillId="2" borderId="26" xfId="0" applyFont="1" applyFill="1" applyBorder="1"/>
    <xf numFmtId="0" fontId="4" fillId="2" borderId="8" xfId="0" applyFont="1" applyFill="1" applyBorder="1"/>
    <xf numFmtId="0" fontId="0" fillId="2" borderId="7" xfId="0" applyFont="1" applyFill="1" applyBorder="1"/>
    <xf numFmtId="0" fontId="0" fillId="2" borderId="9" xfId="0" applyFont="1" applyFill="1" applyBorder="1"/>
    <xf numFmtId="0" fontId="2" fillId="2" borderId="2" xfId="0" applyFont="1" applyFill="1" applyBorder="1"/>
    <xf numFmtId="0" fontId="0" fillId="2" borderId="2" xfId="0" applyFont="1" applyFill="1" applyBorder="1"/>
    <xf numFmtId="0" fontId="0" fillId="2" borderId="0" xfId="0" applyFont="1" applyFill="1"/>
    <xf numFmtId="0" fontId="4" fillId="2" borderId="0" xfId="0" applyFont="1" applyFill="1" applyBorder="1" applyAlignment="1">
      <alignment horizontal="center"/>
    </xf>
    <xf numFmtId="0" fontId="4" fillId="2" borderId="52" xfId="0" applyFont="1" applyFill="1" applyBorder="1" applyAlignment="1">
      <alignment horizontal="left"/>
    </xf>
    <xf numFmtId="0" fontId="4" fillId="2" borderId="67" xfId="0" applyFont="1" applyFill="1" applyBorder="1" applyAlignment="1">
      <alignment horizontal="left"/>
    </xf>
    <xf numFmtId="0" fontId="4" fillId="2" borderId="38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/>
    </xf>
    <xf numFmtId="0" fontId="4" fillId="2" borderId="2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left"/>
    </xf>
    <xf numFmtId="0" fontId="4" fillId="2" borderId="67" xfId="0" applyFont="1" applyFill="1" applyBorder="1"/>
    <xf numFmtId="0" fontId="4" fillId="2" borderId="43" xfId="0" applyFont="1" applyFill="1" applyBorder="1" applyAlignment="1">
      <alignment horizontal="center"/>
    </xf>
    <xf numFmtId="0" fontId="4" fillId="2" borderId="16" xfId="0" applyFont="1" applyFill="1" applyBorder="1"/>
    <xf numFmtId="0" fontId="4" fillId="2" borderId="17" xfId="0" applyFont="1" applyFill="1" applyBorder="1"/>
    <xf numFmtId="0" fontId="4" fillId="2" borderId="18" xfId="0" applyFont="1" applyFill="1" applyBorder="1"/>
    <xf numFmtId="0" fontId="4" fillId="2" borderId="19" xfId="0" applyFont="1" applyFill="1" applyBorder="1"/>
    <xf numFmtId="0" fontId="4" fillId="2" borderId="21" xfId="0" applyFont="1" applyFill="1" applyBorder="1"/>
    <xf numFmtId="0" fontId="4" fillId="2" borderId="50" xfId="0" applyFont="1" applyFill="1" applyBorder="1"/>
    <xf numFmtId="0" fontId="4" fillId="2" borderId="24" xfId="0" applyFont="1" applyFill="1" applyBorder="1"/>
    <xf numFmtId="0" fontId="4" fillId="2" borderId="9" xfId="0" applyFont="1" applyFill="1" applyBorder="1"/>
    <xf numFmtId="0" fontId="0" fillId="2" borderId="26" xfId="0" applyFont="1" applyFill="1" applyBorder="1"/>
    <xf numFmtId="0" fontId="0" fillId="2" borderId="39" xfId="0" applyFont="1" applyFill="1" applyBorder="1"/>
    <xf numFmtId="0" fontId="0" fillId="2" borderId="27" xfId="0" applyFont="1" applyFill="1" applyBorder="1"/>
    <xf numFmtId="0" fontId="0" fillId="2" borderId="26" xfId="0" applyFill="1" applyBorder="1"/>
    <xf numFmtId="0" fontId="4" fillId="2" borderId="40" xfId="0" applyFont="1" applyFill="1" applyBorder="1" applyAlignment="1">
      <alignment horizontal="left"/>
    </xf>
    <xf numFmtId="0" fontId="4" fillId="2" borderId="68" xfId="0" applyFont="1" applyFill="1" applyBorder="1" applyAlignment="1">
      <alignment horizontal="left"/>
    </xf>
    <xf numFmtId="0" fontId="4" fillId="2" borderId="2" xfId="0" applyFont="1" applyFill="1" applyBorder="1"/>
    <xf numFmtId="0" fontId="4" fillId="2" borderId="61" xfId="0" applyFont="1" applyFill="1" applyBorder="1"/>
    <xf numFmtId="0" fontId="4" fillId="2" borderId="0" xfId="0" applyFont="1" applyFill="1"/>
    <xf numFmtId="0" fontId="0" fillId="2" borderId="0" xfId="0" applyFont="1" applyFill="1" applyBorder="1" applyAlignment="1">
      <alignment horizontal="center"/>
    </xf>
    <xf numFmtId="0" fontId="0" fillId="2" borderId="8" xfId="0" applyFont="1" applyFill="1" applyBorder="1"/>
    <xf numFmtId="0" fontId="0" fillId="2" borderId="8" xfId="0" applyFont="1" applyFill="1" applyBorder="1" applyAlignment="1">
      <alignment horizontal="center"/>
    </xf>
    <xf numFmtId="0" fontId="19" fillId="0" borderId="0" xfId="0" applyFont="1"/>
    <xf numFmtId="0" fontId="20" fillId="0" borderId="0" xfId="0" applyFont="1"/>
    <xf numFmtId="0" fontId="12" fillId="0" borderId="0" xfId="0" applyFont="1" applyAlignment="1">
      <alignment horizontal="right"/>
    </xf>
    <xf numFmtId="0" fontId="10" fillId="0" borderId="0" xfId="0" applyFont="1"/>
    <xf numFmtId="0" fontId="20" fillId="0" borderId="8" xfId="0" applyFont="1" applyBorder="1"/>
    <xf numFmtId="0" fontId="15" fillId="0" borderId="0" xfId="0" applyFont="1"/>
    <xf numFmtId="0" fontId="15" fillId="0" borderId="8" xfId="0" applyFont="1" applyBorder="1"/>
    <xf numFmtId="0" fontId="0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4" fillId="0" borderId="8" xfId="0" applyFont="1" applyBorder="1" applyAlignment="1">
      <alignment horizontal="right"/>
    </xf>
    <xf numFmtId="0" fontId="4" fillId="0" borderId="8" xfId="0" applyFont="1" applyBorder="1" applyAlignment="1">
      <alignment horizontal="left"/>
    </xf>
    <xf numFmtId="0" fontId="20" fillId="0" borderId="7" xfId="0" applyFont="1" applyBorder="1"/>
    <xf numFmtId="0" fontId="20" fillId="0" borderId="0" xfId="0" applyFont="1" applyAlignment="1">
      <alignment horizontal="center"/>
    </xf>
    <xf numFmtId="0" fontId="4" fillId="0" borderId="67" xfId="0" applyFont="1" applyBorder="1" applyAlignment="1">
      <alignment horizontal="center"/>
    </xf>
    <xf numFmtId="0" fontId="4" fillId="0" borderId="69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42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16" fillId="0" borderId="16" xfId="0" applyFont="1" applyBorder="1"/>
    <xf numFmtId="0" fontId="20" fillId="0" borderId="33" xfId="0" applyFont="1" applyBorder="1"/>
    <xf numFmtId="0" fontId="20" fillId="0" borderId="37" xfId="0" applyFont="1" applyBorder="1"/>
    <xf numFmtId="0" fontId="20" fillId="0" borderId="17" xfId="0" applyFont="1" applyBorder="1"/>
    <xf numFmtId="0" fontId="20" fillId="0" borderId="18" xfId="0" applyFont="1" applyBorder="1"/>
    <xf numFmtId="0" fontId="20" fillId="0" borderId="20" xfId="0" applyFont="1" applyBorder="1"/>
    <xf numFmtId="0" fontId="0" fillId="0" borderId="16" xfId="0" applyFont="1" applyBorder="1"/>
    <xf numFmtId="0" fontId="0" fillId="0" borderId="18" xfId="0" applyFont="1" applyBorder="1"/>
    <xf numFmtId="0" fontId="20" fillId="0" borderId="16" xfId="0" applyFont="1" applyBorder="1"/>
    <xf numFmtId="0" fontId="5" fillId="0" borderId="17" xfId="0" applyFont="1" applyBorder="1"/>
    <xf numFmtId="0" fontId="5" fillId="0" borderId="21" xfId="0" applyFont="1" applyBorder="1"/>
    <xf numFmtId="0" fontId="20" fillId="0" borderId="9" xfId="0" applyFont="1" applyBorder="1"/>
    <xf numFmtId="0" fontId="20" fillId="0" borderId="1" xfId="0" applyFont="1" applyBorder="1"/>
    <xf numFmtId="0" fontId="20" fillId="0" borderId="3" xfId="0" applyFont="1" applyBorder="1"/>
    <xf numFmtId="0" fontId="15" fillId="0" borderId="26" xfId="0" applyFont="1" applyBorder="1"/>
    <xf numFmtId="0" fontId="10" fillId="0" borderId="4" xfId="0" applyFont="1" applyBorder="1"/>
    <xf numFmtId="0" fontId="19" fillId="0" borderId="5" xfId="0" applyFont="1" applyBorder="1"/>
    <xf numFmtId="0" fontId="11" fillId="0" borderId="6" xfId="0" applyFont="1" applyBorder="1"/>
    <xf numFmtId="0" fontId="7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10" fillId="0" borderId="8" xfId="0" applyFont="1" applyBorder="1"/>
    <xf numFmtId="0" fontId="4" fillId="0" borderId="36" xfId="0" applyFont="1" applyBorder="1"/>
    <xf numFmtId="0" fontId="5" fillId="0" borderId="12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5" fillId="0" borderId="61" xfId="0" applyFont="1" applyBorder="1" applyAlignment="1">
      <alignment horizontal="center"/>
    </xf>
    <xf numFmtId="0" fontId="5" fillId="0" borderId="62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58" xfId="0" applyFont="1" applyBorder="1"/>
    <xf numFmtId="0" fontId="20" fillId="0" borderId="46" xfId="0" applyFont="1" applyBorder="1"/>
    <xf numFmtId="0" fontId="20" fillId="0" borderId="67" xfId="0" applyFont="1" applyBorder="1"/>
    <xf numFmtId="0" fontId="0" fillId="0" borderId="67" xfId="0" applyFont="1" applyBorder="1"/>
    <xf numFmtId="0" fontId="5" fillId="0" borderId="64" xfId="0" applyFont="1" applyBorder="1"/>
    <xf numFmtId="0" fontId="0" fillId="0" borderId="21" xfId="0" applyFont="1" applyBorder="1"/>
    <xf numFmtId="0" fontId="0" fillId="0" borderId="23" xfId="0" applyFont="1" applyBorder="1"/>
    <xf numFmtId="0" fontId="0" fillId="0" borderId="50" xfId="0" applyFont="1" applyBorder="1"/>
    <xf numFmtId="0" fontId="0" fillId="0" borderId="22" xfId="0" applyFont="1" applyBorder="1"/>
    <xf numFmtId="0" fontId="5" fillId="0" borderId="0" xfId="0" applyFont="1" applyBorder="1"/>
    <xf numFmtId="0" fontId="4" fillId="0" borderId="38" xfId="0" applyFont="1" applyBorder="1"/>
    <xf numFmtId="0" fontId="4" fillId="0" borderId="48" xfId="0" applyFont="1" applyBorder="1"/>
    <xf numFmtId="0" fontId="0" fillId="0" borderId="7" xfId="0" applyFont="1" applyBorder="1"/>
    <xf numFmtId="0" fontId="0" fillId="0" borderId="4" xfId="0" applyFont="1" applyBorder="1"/>
    <xf numFmtId="0" fontId="0" fillId="0" borderId="70" xfId="0" applyFont="1" applyBorder="1"/>
    <xf numFmtId="0" fontId="0" fillId="0" borderId="6" xfId="0" applyFont="1" applyBorder="1"/>
    <xf numFmtId="0" fontId="0" fillId="0" borderId="36" xfId="0" applyFont="1" applyBorder="1"/>
    <xf numFmtId="0" fontId="0" fillId="0" borderId="8" xfId="0" applyFont="1" applyBorder="1"/>
    <xf numFmtId="0" fontId="5" fillId="0" borderId="23" xfId="0" applyFont="1" applyBorder="1"/>
    <xf numFmtId="0" fontId="5" fillId="0" borderId="55" xfId="0" applyFont="1" applyBorder="1"/>
    <xf numFmtId="0" fontId="5" fillId="0" borderId="56" xfId="0" applyFont="1" applyBorder="1"/>
    <xf numFmtId="0" fontId="5" fillId="0" borderId="14" xfId="0" applyFont="1" applyBorder="1"/>
    <xf numFmtId="0" fontId="6" fillId="0" borderId="41" xfId="0" applyFont="1" applyBorder="1" applyAlignment="1">
      <alignment horizontal="left"/>
    </xf>
    <xf numFmtId="0" fontId="4" fillId="0" borderId="68" xfId="0" applyFont="1" applyBorder="1"/>
    <xf numFmtId="0" fontId="5" fillId="0" borderId="71" xfId="0" applyFont="1" applyBorder="1"/>
    <xf numFmtId="0" fontId="5" fillId="0" borderId="72" xfId="0" applyFont="1" applyBorder="1"/>
    <xf numFmtId="0" fontId="6" fillId="0" borderId="69" xfId="0" applyFont="1" applyBorder="1" applyAlignment="1">
      <alignment horizontal="left"/>
    </xf>
    <xf numFmtId="0" fontId="4" fillId="0" borderId="67" xfId="0" applyFont="1" applyBorder="1"/>
    <xf numFmtId="0" fontId="20" fillId="0" borderId="27" xfId="0" applyFont="1" applyBorder="1"/>
    <xf numFmtId="0" fontId="5" fillId="0" borderId="61" xfId="0" applyFont="1" applyBorder="1"/>
    <xf numFmtId="0" fontId="5" fillId="0" borderId="62" xfId="0" applyFont="1" applyBorder="1"/>
    <xf numFmtId="0" fontId="5" fillId="0" borderId="65" xfId="0" applyFont="1" applyBorder="1"/>
    <xf numFmtId="0" fontId="5" fillId="0" borderId="22" xfId="0" applyFont="1" applyBorder="1"/>
    <xf numFmtId="0" fontId="6" fillId="0" borderId="49" xfId="0" applyFont="1" applyBorder="1" applyAlignment="1">
      <alignment horizontal="left"/>
    </xf>
    <xf numFmtId="0" fontId="4" fillId="0" borderId="50" xfId="0" applyFont="1" applyBorder="1"/>
    <xf numFmtId="0" fontId="11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4" fillId="0" borderId="10" xfId="0" applyFont="1" applyBorder="1"/>
    <xf numFmtId="0" fontId="4" fillId="0" borderId="11" xfId="0" applyFont="1" applyBorder="1"/>
    <xf numFmtId="0" fontId="4" fillId="0" borderId="7" xfId="0" applyFont="1" applyFill="1" applyBorder="1"/>
    <xf numFmtId="0" fontId="4" fillId="0" borderId="29" xfId="0" applyFont="1" applyBorder="1"/>
    <xf numFmtId="0" fontId="4" fillId="0" borderId="30" xfId="0" applyFont="1" applyBorder="1"/>
    <xf numFmtId="0" fontId="4" fillId="0" borderId="31" xfId="0" applyFont="1" applyBorder="1"/>
    <xf numFmtId="0" fontId="4" fillId="0" borderId="29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73" xfId="0" applyFont="1" applyBorder="1"/>
    <xf numFmtId="0" fontId="4" fillId="0" borderId="54" xfId="0" applyFont="1" applyBorder="1"/>
    <xf numFmtId="0" fontId="4" fillId="0" borderId="33" xfId="0" applyFont="1" applyBorder="1"/>
    <xf numFmtId="0" fontId="4" fillId="0" borderId="17" xfId="0" applyFont="1" applyBorder="1"/>
    <xf numFmtId="0" fontId="17" fillId="0" borderId="0" xfId="0" applyFont="1"/>
    <xf numFmtId="0" fontId="9" fillId="0" borderId="26" xfId="0" applyFont="1" applyBorder="1"/>
    <xf numFmtId="0" fontId="11" fillId="0" borderId="3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0" fontId="11" fillId="0" borderId="27" xfId="0" applyFont="1" applyBorder="1" applyAlignment="1">
      <alignment horizontal="left"/>
    </xf>
    <xf numFmtId="0" fontId="20" fillId="0" borderId="5" xfId="0" applyFont="1" applyBorder="1"/>
    <xf numFmtId="0" fontId="11" fillId="0" borderId="45" xfId="0" applyFont="1" applyBorder="1"/>
    <xf numFmtId="0" fontId="11" fillId="0" borderId="44" xfId="0" applyFont="1" applyBorder="1"/>
    <xf numFmtId="0" fontId="11" fillId="0" borderId="51" xfId="0" applyFont="1" applyBorder="1"/>
    <xf numFmtId="0" fontId="8" fillId="0" borderId="17" xfId="0" applyFont="1" applyBorder="1" applyAlignment="1">
      <alignment horizontal="center"/>
    </xf>
    <xf numFmtId="0" fontId="9" fillId="0" borderId="5" xfId="0" applyFont="1" applyBorder="1"/>
    <xf numFmtId="0" fontId="9" fillId="0" borderId="70" xfId="0" applyFont="1" applyBorder="1"/>
    <xf numFmtId="0" fontId="9" fillId="0" borderId="74" xfId="0" applyFont="1" applyBorder="1"/>
    <xf numFmtId="0" fontId="9" fillId="0" borderId="6" xfId="0" applyFont="1" applyBorder="1"/>
    <xf numFmtId="0" fontId="8" fillId="0" borderId="61" xfId="0" applyFont="1" applyBorder="1"/>
    <xf numFmtId="0" fontId="8" fillId="0" borderId="62" xfId="0" applyFont="1" applyBorder="1"/>
    <xf numFmtId="0" fontId="8" fillId="0" borderId="13" xfId="0" applyFont="1" applyBorder="1"/>
    <xf numFmtId="0" fontId="8" fillId="0" borderId="56" xfId="0" applyFont="1" applyBorder="1"/>
    <xf numFmtId="0" fontId="8" fillId="0" borderId="14" xfId="0" applyFont="1" applyBorder="1"/>
    <xf numFmtId="0" fontId="8" fillId="0" borderId="57" xfId="0" applyFont="1" applyBorder="1"/>
    <xf numFmtId="0" fontId="8" fillId="0" borderId="59" xfId="0" applyFont="1" applyBorder="1"/>
    <xf numFmtId="0" fontId="8" fillId="0" borderId="19" xfId="0" applyFont="1" applyBorder="1"/>
    <xf numFmtId="0" fontId="8" fillId="0" borderId="60" xfId="0" applyFont="1" applyBorder="1"/>
    <xf numFmtId="0" fontId="8" fillId="0" borderId="58" xfId="0" applyFont="1" applyBorder="1"/>
    <xf numFmtId="0" fontId="8" fillId="0" borderId="64" xfId="0" applyFont="1" applyBorder="1"/>
    <xf numFmtId="0" fontId="8" fillId="0" borderId="65" xfId="0" applyFont="1" applyBorder="1"/>
    <xf numFmtId="0" fontId="8" fillId="0" borderId="23" xfId="0" applyFont="1" applyBorder="1"/>
    <xf numFmtId="0" fontId="8" fillId="0" borderId="24" xfId="0" applyFont="1" applyBorder="1"/>
    <xf numFmtId="0" fontId="8" fillId="0" borderId="66" xfId="0" applyFont="1" applyBorder="1"/>
    <xf numFmtId="0" fontId="8" fillId="0" borderId="0" xfId="0" applyFont="1" applyAlignment="1">
      <alignment horizontal="left"/>
    </xf>
    <xf numFmtId="0" fontId="18" fillId="0" borderId="0" xfId="0" applyFont="1"/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5" fillId="0" borderId="0" xfId="0" applyFont="1"/>
    <xf numFmtId="0" fontId="4" fillId="0" borderId="1" xfId="0" applyFont="1" applyFill="1" applyBorder="1"/>
    <xf numFmtId="0" fontId="0" fillId="0" borderId="3" xfId="0" applyFont="1" applyBorder="1" applyAlignment="1"/>
    <xf numFmtId="0" fontId="0" fillId="0" borderId="10" xfId="0" applyFont="1" applyBorder="1" applyAlignment="1"/>
    <xf numFmtId="0" fontId="0" fillId="0" borderId="2" xfId="0" applyFont="1" applyBorder="1" applyAlignment="1"/>
    <xf numFmtId="0" fontId="4" fillId="0" borderId="26" xfId="0" applyFont="1" applyFill="1" applyBorder="1"/>
    <xf numFmtId="0" fontId="0" fillId="0" borderId="27" xfId="0" applyFont="1" applyBorder="1" applyAlignment="1"/>
    <xf numFmtId="0" fontId="0" fillId="0" borderId="11" xfId="0" applyFont="1" applyBorder="1" applyAlignment="1"/>
    <xf numFmtId="0" fontId="0" fillId="0" borderId="11" xfId="0" applyFont="1" applyFill="1" applyBorder="1" applyAlignment="1"/>
    <xf numFmtId="0" fontId="0" fillId="0" borderId="0" xfId="0" applyFont="1" applyFill="1" applyBorder="1" applyAlignment="1"/>
    <xf numFmtId="0" fontId="0" fillId="0" borderId="9" xfId="0" applyFont="1" applyBorder="1" applyAlignment="1"/>
    <xf numFmtId="0" fontId="0" fillId="0" borderId="28" xfId="0" applyFont="1" applyBorder="1" applyAlignment="1"/>
    <xf numFmtId="0" fontId="0" fillId="0" borderId="28" xfId="0" applyFont="1" applyFill="1" applyBorder="1" applyAlignment="1"/>
    <xf numFmtId="0" fontId="0" fillId="0" borderId="10" xfId="0" applyBorder="1" applyAlignment="1">
      <alignment textRotation="255"/>
    </xf>
    <xf numFmtId="0" fontId="16" fillId="0" borderId="75" xfId="0" applyFont="1" applyBorder="1"/>
    <xf numFmtId="0" fontId="0" fillId="0" borderId="75" xfId="0" applyBorder="1"/>
    <xf numFmtId="0" fontId="0" fillId="0" borderId="10" xfId="0" applyBorder="1"/>
    <xf numFmtId="0" fontId="0" fillId="0" borderId="11" xfId="0" applyFont="1" applyBorder="1"/>
    <xf numFmtId="0" fontId="16" fillId="0" borderId="76" xfId="0" applyFont="1" applyBorder="1"/>
    <xf numFmtId="0" fontId="0" fillId="0" borderId="76" xfId="0" applyBorder="1"/>
    <xf numFmtId="0" fontId="0" fillId="0" borderId="0" xfId="0" applyAlignment="1">
      <alignment textRotation="90"/>
    </xf>
    <xf numFmtId="0" fontId="0" fillId="0" borderId="28" xfId="0" applyBorder="1" applyAlignment="1">
      <alignment textRotation="90"/>
    </xf>
    <xf numFmtId="0" fontId="16" fillId="0" borderId="77" xfId="0" applyFont="1" applyBorder="1"/>
    <xf numFmtId="0" fontId="0" fillId="0" borderId="77" xfId="0" applyBorder="1"/>
    <xf numFmtId="0" fontId="0" fillId="0" borderId="36" xfId="0" applyBorder="1"/>
    <xf numFmtId="0" fontId="16" fillId="0" borderId="1" xfId="0" applyFont="1" applyBorder="1"/>
    <xf numFmtId="0" fontId="16" fillId="0" borderId="2" xfId="0" applyFont="1" applyBorder="1"/>
    <xf numFmtId="0" fontId="0" fillId="0" borderId="26" xfId="0" applyBorder="1" applyAlignment="1">
      <alignment textRotation="90"/>
    </xf>
    <xf numFmtId="0" fontId="0" fillId="0" borderId="0" xfId="0" applyAlignment="1">
      <alignment horizontal="left"/>
    </xf>
    <xf numFmtId="0" fontId="16" fillId="0" borderId="44" xfId="0" applyFont="1" applyBorder="1" applyAlignment="1">
      <alignment horizontal="center"/>
    </xf>
    <xf numFmtId="0" fontId="0" fillId="0" borderId="44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0" fillId="0" borderId="33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2" xfId="0" applyFont="1" applyBorder="1"/>
    <xf numFmtId="0" fontId="2" fillId="0" borderId="2" xfId="0" applyFont="1" applyFill="1" applyBorder="1" applyAlignment="1">
      <alignment horizontal="center"/>
    </xf>
    <xf numFmtId="0" fontId="0" fillId="0" borderId="2" xfId="0" applyFont="1" applyFill="1" applyBorder="1"/>
    <xf numFmtId="0" fontId="4" fillId="0" borderId="2" xfId="0" applyFont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0" fontId="0" fillId="0" borderId="8" xfId="0" applyFont="1" applyFill="1" applyBorder="1"/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4" fillId="0" borderId="1" xfId="0" applyFont="1" applyBorder="1" applyAlignment="1">
      <alignment horizontal="left"/>
    </xf>
    <xf numFmtId="0" fontId="15" fillId="0" borderId="3" xfId="0" applyFont="1" applyBorder="1"/>
    <xf numFmtId="0" fontId="10" fillId="0" borderId="3" xfId="0" applyFont="1" applyBorder="1"/>
    <xf numFmtId="0" fontId="4" fillId="0" borderId="9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10" fillId="0" borderId="27" xfId="0" applyFont="1" applyBorder="1"/>
    <xf numFmtId="0" fontId="15" fillId="0" borderId="4" xfId="0" applyFont="1" applyBorder="1"/>
    <xf numFmtId="0" fontId="4" fillId="0" borderId="7" xfId="0" applyFont="1" applyBorder="1" applyAlignment="1">
      <alignment horizontal="left"/>
    </xf>
    <xf numFmtId="0" fontId="15" fillId="0" borderId="9" xfId="0" applyFont="1" applyBorder="1"/>
    <xf numFmtId="0" fontId="10" fillId="0" borderId="9" xfId="0" applyFont="1" applyBorder="1"/>
    <xf numFmtId="0" fontId="25" fillId="0" borderId="0" xfId="0" applyFont="1" applyFill="1" applyBorder="1" applyAlignment="1">
      <alignment horizontal="left"/>
    </xf>
    <xf numFmtId="0" fontId="26" fillId="0" borderId="31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left"/>
    </xf>
    <xf numFmtId="0" fontId="8" fillId="0" borderId="29" xfId="0" applyFont="1" applyFill="1" applyBorder="1" applyAlignment="1">
      <alignment horizontal="left"/>
    </xf>
    <xf numFmtId="0" fontId="8" fillId="0" borderId="70" xfId="0" applyFont="1" applyBorder="1"/>
    <xf numFmtId="0" fontId="8" fillId="0" borderId="31" xfId="0" applyFont="1" applyBorder="1"/>
    <xf numFmtId="0" fontId="8" fillId="0" borderId="6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36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10" fillId="0" borderId="16" xfId="0" applyFont="1" applyBorder="1"/>
    <xf numFmtId="0" fontId="10" fillId="0" borderId="17" xfId="0" applyFont="1" applyBorder="1"/>
    <xf numFmtId="0" fontId="10" fillId="0" borderId="21" xfId="0" applyFont="1" applyBorder="1"/>
    <xf numFmtId="0" fontId="10" fillId="0" borderId="22" xfId="0" applyFont="1" applyBorder="1"/>
    <xf numFmtId="0" fontId="10" fillId="0" borderId="25" xfId="0" applyFont="1" applyBorder="1"/>
    <xf numFmtId="0" fontId="10" fillId="0" borderId="2" xfId="0" applyFont="1" applyBorder="1"/>
    <xf numFmtId="0" fontId="10" fillId="0" borderId="26" xfId="0" applyFont="1" applyBorder="1"/>
    <xf numFmtId="0" fontId="0" fillId="0" borderId="0" xfId="0" applyBorder="1" applyAlignment="1"/>
    <xf numFmtId="0" fontId="27" fillId="0" borderId="0" xfId="0" applyFont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2" xfId="0" applyFont="1" applyBorder="1" applyAlignment="1"/>
    <xf numFmtId="0" fontId="4" fillId="0" borderId="38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16" fillId="0" borderId="8" xfId="0" applyFont="1" applyBorder="1" applyAlignment="1"/>
    <xf numFmtId="0" fontId="5" fillId="0" borderId="8" xfId="0" applyFont="1" applyBorder="1" applyAlignment="1">
      <alignment horizontal="center"/>
    </xf>
    <xf numFmtId="0" fontId="0" fillId="0" borderId="9" xfId="0" applyBorder="1" applyAlignment="1"/>
    <xf numFmtId="0" fontId="0" fillId="0" borderId="7" xfId="0" applyBorder="1" applyAlignment="1"/>
    <xf numFmtId="0" fontId="4" fillId="0" borderId="48" xfId="0" applyFont="1" applyBorder="1" applyAlignment="1">
      <alignment horizontal="left"/>
    </xf>
    <xf numFmtId="0" fontId="16" fillId="0" borderId="2" xfId="0" applyFont="1" applyBorder="1" applyAlignment="1"/>
    <xf numFmtId="0" fontId="5" fillId="0" borderId="1" xfId="0" applyFont="1" applyBorder="1" applyAlignment="1"/>
    <xf numFmtId="0" fontId="0" fillId="0" borderId="8" xfId="0" applyBorder="1" applyAlignment="1"/>
    <xf numFmtId="0" fontId="4" fillId="0" borderId="39" xfId="0" applyFont="1" applyBorder="1" applyAlignment="1"/>
    <xf numFmtId="0" fontId="30" fillId="0" borderId="0" xfId="0" applyFont="1" applyBorder="1" applyAlignment="1">
      <alignment horizontal="left"/>
    </xf>
    <xf numFmtId="0" fontId="6" fillId="0" borderId="69" xfId="0" applyFont="1" applyBorder="1" applyAlignment="1">
      <alignment horizontal="center"/>
    </xf>
    <xf numFmtId="0" fontId="31" fillId="0" borderId="44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69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6" fillId="0" borderId="49" xfId="0" applyFont="1" applyBorder="1" applyAlignment="1">
      <alignment horizontal="center"/>
    </xf>
    <xf numFmtId="0" fontId="6" fillId="0" borderId="2" xfId="0" applyFont="1" applyBorder="1" applyAlignment="1"/>
    <xf numFmtId="0" fontId="33" fillId="0" borderId="2" xfId="0" applyFont="1" applyBorder="1" applyAlignment="1"/>
    <xf numFmtId="0" fontId="5" fillId="0" borderId="26" xfId="0" applyFont="1" applyFill="1" applyBorder="1" applyAlignment="1">
      <alignment horizontal="left"/>
    </xf>
    <xf numFmtId="0" fontId="6" fillId="0" borderId="0" xfId="0" applyFont="1" applyFill="1" applyBorder="1" applyAlignment="1"/>
    <xf numFmtId="0" fontId="33" fillId="0" borderId="0" xfId="0" applyFont="1" applyFill="1" applyBorder="1" applyAlignment="1"/>
    <xf numFmtId="0" fontId="33" fillId="0" borderId="27" xfId="0" applyFont="1" applyBorder="1" applyAlignment="1"/>
    <xf numFmtId="0" fontId="33" fillId="0" borderId="26" xfId="0" applyFont="1" applyBorder="1" applyAlignment="1"/>
    <xf numFmtId="0" fontId="33" fillId="0" borderId="0" xfId="0" applyFont="1" applyBorder="1" applyAlignment="1"/>
    <xf numFmtId="0" fontId="0" fillId="0" borderId="27" xfId="0" applyBorder="1" applyAlignment="1"/>
    <xf numFmtId="0" fontId="5" fillId="0" borderId="26" xfId="0" applyFont="1" applyFill="1" applyBorder="1" applyAlignment="1"/>
    <xf numFmtId="0" fontId="6" fillId="0" borderId="26" xfId="0" applyFont="1" applyBorder="1" applyAlignment="1"/>
    <xf numFmtId="0" fontId="6" fillId="0" borderId="0" xfId="0" applyFont="1" applyBorder="1" applyAlignment="1"/>
    <xf numFmtId="0" fontId="33" fillId="0" borderId="7" xfId="0" applyFont="1" applyBorder="1" applyAlignment="1"/>
    <xf numFmtId="0" fontId="33" fillId="0" borderId="8" xfId="0" applyFont="1" applyBorder="1" applyAlignment="1"/>
    <xf numFmtId="0" fontId="33" fillId="0" borderId="9" xfId="0" applyFont="1" applyBorder="1" applyAlignment="1"/>
    <xf numFmtId="0" fontId="16" fillId="0" borderId="9" xfId="0" applyFont="1" applyBorder="1" applyAlignment="1"/>
    <xf numFmtId="0" fontId="5" fillId="0" borderId="3" xfId="0" applyFont="1" applyBorder="1" applyAlignment="1">
      <alignment horizontal="left"/>
    </xf>
    <xf numFmtId="0" fontId="5" fillId="0" borderId="26" xfId="0" applyFont="1" applyBorder="1" applyAlignment="1"/>
    <xf numFmtId="0" fontId="16" fillId="0" borderId="0" xfId="0" applyFont="1" applyBorder="1" applyAlignment="1"/>
    <xf numFmtId="0" fontId="5" fillId="0" borderId="27" xfId="0" applyFont="1" applyBorder="1" applyAlignment="1">
      <alignment horizontal="center"/>
    </xf>
    <xf numFmtId="0" fontId="5" fillId="0" borderId="9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44" xfId="0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6" fillId="0" borderId="48" xfId="0" applyFont="1" applyBorder="1" applyAlignment="1">
      <alignment horizontal="center"/>
    </xf>
    <xf numFmtId="0" fontId="6" fillId="0" borderId="50" xfId="0" applyFont="1" applyBorder="1" applyAlignment="1">
      <alignment horizontal="center"/>
    </xf>
    <xf numFmtId="0" fontId="6" fillId="0" borderId="22" xfId="0" applyFont="1" applyBorder="1" applyAlignment="1">
      <alignment horizontal="center" vertical="center" wrapText="1"/>
    </xf>
    <xf numFmtId="0" fontId="33" fillId="0" borderId="0" xfId="0" applyFont="1" applyBorder="1"/>
    <xf numFmtId="0" fontId="6" fillId="0" borderId="26" xfId="0" applyFont="1" applyBorder="1"/>
    <xf numFmtId="0" fontId="33" fillId="0" borderId="7" xfId="0" applyFont="1" applyBorder="1"/>
    <xf numFmtId="0" fontId="33" fillId="0" borderId="8" xfId="0" applyFont="1" applyBorder="1"/>
    <xf numFmtId="0" fontId="0" fillId="0" borderId="0" xfId="0" applyAlignment="1">
      <alignment horizontal="right"/>
    </xf>
    <xf numFmtId="188" fontId="1" fillId="0" borderId="16" xfId="1" applyBorder="1"/>
    <xf numFmtId="4" fontId="10" fillId="0" borderId="17" xfId="0" applyNumberFormat="1" applyFont="1" applyBorder="1"/>
    <xf numFmtId="0" fontId="23" fillId="0" borderId="78" xfId="0" applyFont="1" applyFill="1" applyBorder="1" applyAlignment="1">
      <alignment horizontal="left"/>
    </xf>
    <xf numFmtId="0" fontId="5" fillId="0" borderId="79" xfId="0" applyFont="1" applyBorder="1" applyAlignment="1">
      <alignment horizontal="center"/>
    </xf>
    <xf numFmtId="0" fontId="12" fillId="0" borderId="19" xfId="0" applyFont="1" applyBorder="1"/>
    <xf numFmtId="0" fontId="5" fillId="0" borderId="3" xfId="0" applyFont="1" applyBorder="1" applyAlignment="1">
      <alignment horizontal="center"/>
    </xf>
    <xf numFmtId="0" fontId="24" fillId="0" borderId="80" xfId="0" applyFont="1" applyFill="1" applyBorder="1" applyAlignment="1">
      <alignment horizontal="center"/>
    </xf>
    <xf numFmtId="0" fontId="5" fillId="0" borderId="81" xfId="0" applyFont="1" applyBorder="1" applyAlignment="1">
      <alignment horizontal="center"/>
    </xf>
    <xf numFmtId="0" fontId="8" fillId="0" borderId="10" xfId="0" applyFont="1" applyFill="1" applyBorder="1" applyAlignment="1">
      <alignment horizontal="left"/>
    </xf>
    <xf numFmtId="0" fontId="26" fillId="0" borderId="40" xfId="0" applyFont="1" applyFill="1" applyBorder="1" applyAlignment="1">
      <alignment horizontal="left"/>
    </xf>
    <xf numFmtId="0" fontId="26" fillId="0" borderId="42" xfId="0" applyFont="1" applyFill="1" applyBorder="1" applyAlignment="1">
      <alignment horizontal="left"/>
    </xf>
    <xf numFmtId="0" fontId="8" fillId="0" borderId="40" xfId="0" applyFont="1" applyBorder="1" applyAlignment="1">
      <alignment horizontal="left"/>
    </xf>
    <xf numFmtId="0" fontId="12" fillId="0" borderId="41" xfId="0" applyFont="1" applyBorder="1" applyAlignment="1">
      <alignment horizontal="center"/>
    </xf>
    <xf numFmtId="0" fontId="8" fillId="0" borderId="41" xfId="0" applyFont="1" applyBorder="1" applyAlignment="1">
      <alignment horizontal="left"/>
    </xf>
    <xf numFmtId="0" fontId="8" fillId="0" borderId="68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left"/>
    </xf>
    <xf numFmtId="0" fontId="26" fillId="0" borderId="2" xfId="0" applyFont="1" applyFill="1" applyBorder="1" applyAlignment="1">
      <alignment horizontal="left"/>
    </xf>
    <xf numFmtId="0" fontId="26" fillId="0" borderId="38" xfId="0" applyFont="1" applyFill="1" applyBorder="1" applyAlignment="1">
      <alignment horizontal="left"/>
    </xf>
    <xf numFmtId="0" fontId="8" fillId="0" borderId="41" xfId="0" applyFont="1" applyFill="1" applyBorder="1" applyAlignment="1">
      <alignment horizontal="left"/>
    </xf>
    <xf numFmtId="0" fontId="26" fillId="0" borderId="41" xfId="0" applyFont="1" applyFill="1" applyBorder="1" applyAlignment="1">
      <alignment horizontal="left"/>
    </xf>
    <xf numFmtId="0" fontId="10" fillId="0" borderId="33" xfId="0" applyFont="1" applyBorder="1"/>
    <xf numFmtId="0" fontId="8" fillId="0" borderId="82" xfId="0" applyFont="1" applyBorder="1" applyAlignment="1">
      <alignment horizontal="center"/>
    </xf>
    <xf numFmtId="0" fontId="8" fillId="0" borderId="83" xfId="0" applyFont="1" applyBorder="1" applyAlignment="1">
      <alignment horizontal="center"/>
    </xf>
    <xf numFmtId="0" fontId="13" fillId="0" borderId="84" xfId="0" applyFont="1" applyBorder="1" applyAlignment="1">
      <alignment horizontal="center"/>
    </xf>
    <xf numFmtId="0" fontId="13" fillId="0" borderId="85" xfId="0" applyFont="1" applyBorder="1" applyAlignment="1">
      <alignment horizontal="center"/>
    </xf>
    <xf numFmtId="0" fontId="8" fillId="0" borderId="86" xfId="0" applyFont="1" applyBorder="1" applyAlignment="1">
      <alignment horizontal="center"/>
    </xf>
    <xf numFmtId="0" fontId="8" fillId="0" borderId="84" xfId="0" applyFont="1" applyBorder="1" applyAlignment="1">
      <alignment horizontal="center"/>
    </xf>
    <xf numFmtId="0" fontId="8" fillId="0" borderId="87" xfId="0" applyFont="1" applyBorder="1" applyAlignment="1">
      <alignment horizontal="center"/>
    </xf>
    <xf numFmtId="0" fontId="13" fillId="0" borderId="83" xfId="0" applyFont="1" applyBorder="1" applyAlignment="1">
      <alignment horizontal="left"/>
    </xf>
    <xf numFmtId="0" fontId="8" fillId="0" borderId="8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45" xfId="0" applyFont="1" applyBorder="1"/>
    <xf numFmtId="0" fontId="0" fillId="0" borderId="46" xfId="0" applyFont="1" applyBorder="1"/>
    <xf numFmtId="16" fontId="20" fillId="0" borderId="17" xfId="0" applyNumberFormat="1" applyFont="1" applyBorder="1"/>
    <xf numFmtId="16" fontId="0" fillId="0" borderId="17" xfId="0" applyNumberFormat="1" applyFont="1" applyBorder="1"/>
    <xf numFmtId="16" fontId="0" fillId="0" borderId="44" xfId="0" applyNumberFormat="1" applyFont="1" applyBorder="1"/>
    <xf numFmtId="0" fontId="0" fillId="0" borderId="69" xfId="0" applyFont="1" applyBorder="1" applyAlignment="1">
      <alignment horizontal="center"/>
    </xf>
    <xf numFmtId="0" fontId="10" fillId="0" borderId="19" xfId="0" applyFont="1" applyBorder="1"/>
    <xf numFmtId="0" fontId="7" fillId="0" borderId="49" xfId="0" applyFont="1" applyBorder="1"/>
    <xf numFmtId="0" fontId="12" fillId="0" borderId="89" xfId="0" applyFont="1" applyBorder="1"/>
    <xf numFmtId="0" fontId="20" fillId="0" borderId="89" xfId="0" applyFont="1" applyBorder="1"/>
    <xf numFmtId="0" fontId="16" fillId="0" borderId="90" xfId="0" applyFont="1" applyBorder="1" applyAlignment="1">
      <alignment horizontal="left"/>
    </xf>
    <xf numFmtId="0" fontId="5" fillId="0" borderId="91" xfId="0" applyFont="1" applyBorder="1" applyAlignment="1">
      <alignment horizontal="center"/>
    </xf>
    <xf numFmtId="0" fontId="5" fillId="0" borderId="92" xfId="0" applyFont="1" applyBorder="1" applyAlignment="1">
      <alignment horizontal="center"/>
    </xf>
    <xf numFmtId="0" fontId="16" fillId="0" borderId="89" xfId="0" applyFont="1" applyBorder="1" applyAlignment="1">
      <alignment horizontal="center"/>
    </xf>
    <xf numFmtId="0" fontId="36" fillId="0" borderId="16" xfId="0" applyFont="1" applyBorder="1"/>
    <xf numFmtId="0" fontId="10" fillId="0" borderId="18" xfId="0" applyFont="1" applyBorder="1"/>
    <xf numFmtId="0" fontId="8" fillId="0" borderId="93" xfId="0" applyFont="1" applyBorder="1" applyAlignment="1">
      <alignment horizontal="left"/>
    </xf>
    <xf numFmtId="0" fontId="12" fillId="0" borderId="89" xfId="0" applyFont="1" applyBorder="1" applyAlignment="1">
      <alignment horizontal="center"/>
    </xf>
    <xf numFmtId="14" fontId="36" fillId="0" borderId="18" xfId="0" applyNumberFormat="1" applyFont="1" applyBorder="1"/>
    <xf numFmtId="0" fontId="8" fillId="0" borderId="94" xfId="0" applyFont="1" applyBorder="1" applyAlignment="1">
      <alignment horizontal="center"/>
    </xf>
    <xf numFmtId="14" fontId="0" fillId="0" borderId="0" xfId="0" applyNumberFormat="1"/>
    <xf numFmtId="191" fontId="16" fillId="0" borderId="89" xfId="0" applyNumberFormat="1" applyFont="1" applyFill="1" applyBorder="1" applyAlignment="1" applyProtection="1">
      <alignment horizontal="right"/>
    </xf>
    <xf numFmtId="0" fontId="31" fillId="0" borderId="11" xfId="0" applyFont="1" applyBorder="1" applyAlignment="1">
      <alignment horizontal="center"/>
    </xf>
    <xf numFmtId="0" fontId="6" fillId="0" borderId="95" xfId="0" applyFont="1" applyBorder="1" applyAlignment="1">
      <alignment horizontal="center"/>
    </xf>
    <xf numFmtId="0" fontId="31" fillId="0" borderId="95" xfId="0" applyFont="1" applyBorder="1" applyAlignment="1">
      <alignment horizontal="center"/>
    </xf>
    <xf numFmtId="0" fontId="31" fillId="0" borderId="96" xfId="0" applyFont="1" applyBorder="1" applyAlignment="1">
      <alignment horizontal="center"/>
    </xf>
    <xf numFmtId="0" fontId="31" fillId="0" borderId="97" xfId="0" applyFont="1" applyBorder="1" applyAlignment="1">
      <alignment horizontal="center"/>
    </xf>
    <xf numFmtId="0" fontId="31" fillId="0" borderId="98" xfId="0" applyFont="1" applyBorder="1" applyAlignment="1">
      <alignment horizontal="center"/>
    </xf>
    <xf numFmtId="0" fontId="31" fillId="0" borderId="47" xfId="0" applyFont="1" applyBorder="1" applyAlignment="1">
      <alignment horizontal="center" vertical="center"/>
    </xf>
    <xf numFmtId="0" fontId="31" fillId="0" borderId="44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 wrapText="1"/>
    </xf>
    <xf numFmtId="0" fontId="16" fillId="0" borderId="89" xfId="0" applyNumberFormat="1" applyFont="1" applyFill="1" applyBorder="1" applyAlignment="1" applyProtection="1">
      <alignment horizontal="left"/>
    </xf>
    <xf numFmtId="0" fontId="5" fillId="0" borderId="8" xfId="0" applyFont="1" applyBorder="1" applyAlignment="1"/>
    <xf numFmtId="191" fontId="16" fillId="0" borderId="89" xfId="0" applyNumberFormat="1" applyFont="1" applyFill="1" applyBorder="1" applyAlignment="1" applyProtection="1">
      <alignment horizontal="left"/>
    </xf>
    <xf numFmtId="192" fontId="16" fillId="0" borderId="89" xfId="0" applyNumberFormat="1" applyFont="1" applyFill="1" applyBorder="1" applyAlignment="1" applyProtection="1">
      <alignment horizontal="right"/>
    </xf>
    <xf numFmtId="0" fontId="16" fillId="0" borderId="89" xfId="0" applyFont="1" applyBorder="1" applyAlignment="1"/>
    <xf numFmtId="0" fontId="6" fillId="0" borderId="8" xfId="0" applyFont="1" applyBorder="1" applyAlignment="1">
      <alignment horizontal="right"/>
    </xf>
    <xf numFmtId="0" fontId="13" fillId="0" borderId="33" xfId="0" applyFont="1" applyBorder="1" applyAlignment="1">
      <alignment horizontal="center"/>
    </xf>
    <xf numFmtId="0" fontId="13" fillId="0" borderId="17" xfId="0" applyFont="1" applyBorder="1" applyAlignment="1">
      <alignment horizontal="center"/>
    </xf>
    <xf numFmtId="0" fontId="13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194" fontId="1" fillId="0" borderId="33" xfId="3" applyNumberFormat="1" applyBorder="1"/>
    <xf numFmtId="9" fontId="8" fillId="0" borderId="37" xfId="0" applyNumberFormat="1" applyFont="1" applyBorder="1"/>
    <xf numFmtId="9" fontId="8" fillId="0" borderId="34" xfId="0" applyNumberFormat="1" applyFont="1" applyBorder="1"/>
    <xf numFmtId="184" fontId="4" fillId="2" borderId="24" xfId="0" applyNumberFormat="1" applyFont="1" applyFill="1" applyBorder="1"/>
    <xf numFmtId="0" fontId="0" fillId="3" borderId="12" xfId="0" applyFill="1" applyBorder="1"/>
    <xf numFmtId="0" fontId="11" fillId="0" borderId="99" xfId="0" applyFont="1" applyBorder="1"/>
    <xf numFmtId="0" fontId="11" fillId="0" borderId="96" xfId="0" applyFont="1" applyBorder="1"/>
    <xf numFmtId="0" fontId="11" fillId="0" borderId="94" xfId="0" applyFont="1" applyBorder="1"/>
    <xf numFmtId="0" fontId="11" fillId="0" borderId="100" xfId="0" applyFont="1" applyBorder="1"/>
    <xf numFmtId="0" fontId="11" fillId="0" borderId="101" xfId="0" applyFont="1" applyBorder="1"/>
    <xf numFmtId="0" fontId="8" fillId="0" borderId="102" xfId="0" applyFont="1" applyBorder="1"/>
    <xf numFmtId="0" fontId="8" fillId="0" borderId="103" xfId="0" applyFont="1" applyBorder="1"/>
    <xf numFmtId="0" fontId="8" fillId="0" borderId="104" xfId="0" applyFont="1" applyBorder="1"/>
    <xf numFmtId="0" fontId="8" fillId="0" borderId="105" xfId="0" applyFont="1" applyBorder="1"/>
    <xf numFmtId="0" fontId="8" fillId="0" borderId="106" xfId="0" applyFont="1" applyBorder="1"/>
    <xf numFmtId="194" fontId="1" fillId="0" borderId="59" xfId="1" applyNumberFormat="1" applyBorder="1"/>
    <xf numFmtId="194" fontId="1" fillId="0" borderId="16" xfId="1" applyNumberFormat="1" applyBorder="1"/>
    <xf numFmtId="194" fontId="1" fillId="0" borderId="20" xfId="1" applyNumberFormat="1" applyBorder="1"/>
    <xf numFmtId="194" fontId="20" fillId="0" borderId="20" xfId="0" applyNumberFormat="1" applyFont="1" applyBorder="1"/>
    <xf numFmtId="194" fontId="20" fillId="0" borderId="37" xfId="0" applyNumberFormat="1" applyFont="1" applyBorder="1"/>
    <xf numFmtId="194" fontId="20" fillId="0" borderId="25" xfId="0" applyNumberFormat="1" applyFont="1" applyBorder="1"/>
    <xf numFmtId="194" fontId="1" fillId="0" borderId="8" xfId="1" applyNumberFormat="1" applyBorder="1"/>
    <xf numFmtId="0" fontId="5" fillId="0" borderId="27" xfId="0" applyFont="1" applyBorder="1" applyAlignment="1">
      <alignment horizontal="center" vertical="center" wrapText="1"/>
    </xf>
    <xf numFmtId="0" fontId="0" fillId="0" borderId="107" xfId="0" applyBorder="1"/>
    <xf numFmtId="0" fontId="0" fillId="0" borderId="108" xfId="0" applyBorder="1"/>
    <xf numFmtId="0" fontId="0" fillId="0" borderId="109" xfId="0" applyBorder="1"/>
    <xf numFmtId="0" fontId="9" fillId="3" borderId="12" xfId="0" applyFont="1" applyFill="1" applyBorder="1"/>
    <xf numFmtId="1" fontId="20" fillId="0" borderId="33" xfId="0" applyNumberFormat="1" applyFont="1" applyBorder="1" applyAlignment="1">
      <alignment horizontal="left"/>
    </xf>
    <xf numFmtId="195" fontId="37" fillId="0" borderId="89" xfId="0" applyNumberFormat="1" applyFont="1" applyFill="1" applyBorder="1" applyAlignment="1">
      <alignment horizontal="right"/>
    </xf>
    <xf numFmtId="14" fontId="10" fillId="0" borderId="22" xfId="0" applyNumberFormat="1" applyFont="1" applyBorder="1"/>
    <xf numFmtId="14" fontId="10" fillId="0" borderId="0" xfId="0" applyNumberFormat="1" applyFont="1" applyBorder="1"/>
    <xf numFmtId="14" fontId="0" fillId="0" borderId="0" xfId="0" applyNumberFormat="1" applyBorder="1"/>
    <xf numFmtId="14" fontId="11" fillId="0" borderId="0" xfId="0" applyNumberFormat="1" applyFont="1" applyBorder="1"/>
    <xf numFmtId="14" fontId="8" fillId="0" borderId="0" xfId="0" applyNumberFormat="1" applyFont="1" applyBorder="1"/>
    <xf numFmtId="14" fontId="0" fillId="0" borderId="8" xfId="0" applyNumberFormat="1" applyBorder="1"/>
    <xf numFmtId="195" fontId="1" fillId="0" borderId="69" xfId="2" applyNumberFormat="1" applyBorder="1"/>
    <xf numFmtId="195" fontId="1" fillId="0" borderId="39" xfId="2" applyNumberFormat="1" applyBorder="1"/>
    <xf numFmtId="195" fontId="1" fillId="0" borderId="89" xfId="2" applyNumberFormat="1" applyFill="1" applyBorder="1" applyAlignment="1" applyProtection="1">
      <alignment horizontal="right"/>
    </xf>
    <xf numFmtId="195" fontId="1" fillId="0" borderId="89" xfId="2" applyNumberFormat="1" applyBorder="1"/>
    <xf numFmtId="0" fontId="16" fillId="0" borderId="69" xfId="0" applyFont="1" applyBorder="1" applyAlignment="1">
      <alignment horizontal="center"/>
    </xf>
    <xf numFmtId="191" fontId="5" fillId="0" borderId="89" xfId="0" applyNumberFormat="1" applyFont="1" applyFill="1" applyBorder="1" applyAlignment="1" applyProtection="1">
      <alignment horizontal="left"/>
    </xf>
    <xf numFmtId="0" fontId="5" fillId="0" borderId="89" xfId="0" applyNumberFormat="1" applyFont="1" applyFill="1" applyBorder="1" applyAlignment="1" applyProtection="1">
      <alignment horizontal="left"/>
    </xf>
    <xf numFmtId="192" fontId="5" fillId="0" borderId="89" xfId="0" applyNumberFormat="1" applyFont="1" applyFill="1" applyBorder="1" applyAlignment="1" applyProtection="1">
      <alignment horizontal="right"/>
    </xf>
    <xf numFmtId="0" fontId="5" fillId="0" borderId="0" xfId="0" applyFont="1" applyFill="1" applyBorder="1" applyAlignment="1">
      <alignment horizontal="center"/>
    </xf>
    <xf numFmtId="195" fontId="20" fillId="0" borderId="34" xfId="0" applyNumberFormat="1" applyFont="1" applyBorder="1"/>
    <xf numFmtId="195" fontId="20" fillId="0" borderId="43" xfId="0" applyNumberFormat="1" applyFont="1" applyBorder="1"/>
    <xf numFmtId="14" fontId="0" fillId="0" borderId="89" xfId="0" applyNumberFormat="1" applyBorder="1" applyAlignment="1">
      <alignment horizontal="left"/>
    </xf>
    <xf numFmtId="195" fontId="38" fillId="0" borderId="89" xfId="0" applyNumberFormat="1" applyFont="1" applyFill="1" applyBorder="1" applyAlignment="1" applyProtection="1">
      <alignment horizontal="right"/>
    </xf>
    <xf numFmtId="0" fontId="33" fillId="0" borderId="89" xfId="0" applyNumberFormat="1" applyFont="1" applyFill="1" applyBorder="1" applyAlignment="1" applyProtection="1">
      <alignment horizontal="left"/>
    </xf>
    <xf numFmtId="0" fontId="16" fillId="0" borderId="62" xfId="0" applyFont="1" applyBorder="1" applyAlignment="1">
      <alignment wrapText="1"/>
    </xf>
    <xf numFmtId="1" fontId="4" fillId="2" borderId="32" xfId="2" applyNumberFormat="1" applyFont="1" applyFill="1" applyBorder="1" applyAlignment="1">
      <alignment horizontal="center"/>
    </xf>
    <xf numFmtId="0" fontId="16" fillId="0" borderId="89" xfId="0" applyFont="1" applyBorder="1" applyAlignment="1">
      <alignment wrapText="1"/>
    </xf>
    <xf numFmtId="0" fontId="16" fillId="0" borderId="59" xfId="0" applyFont="1" applyBorder="1" applyAlignment="1">
      <alignment wrapText="1"/>
    </xf>
    <xf numFmtId="194" fontId="0" fillId="0" borderId="0" xfId="0" applyNumberFormat="1"/>
    <xf numFmtId="0" fontId="33" fillId="0" borderId="89" xfId="0" applyNumberFormat="1" applyFont="1" applyFill="1" applyBorder="1" applyAlignment="1" applyProtection="1"/>
    <xf numFmtId="0" fontId="0" fillId="0" borderId="110" xfId="0" applyBorder="1"/>
    <xf numFmtId="0" fontId="33" fillId="0" borderId="89" xfId="0" applyFont="1" applyBorder="1" applyAlignment="1">
      <alignment wrapText="1"/>
    </xf>
    <xf numFmtId="205" fontId="33" fillId="0" borderId="89" xfId="0" applyNumberFormat="1" applyFont="1" applyFill="1" applyBorder="1" applyAlignment="1" applyProtection="1">
      <alignment horizontal="right"/>
    </xf>
    <xf numFmtId="195" fontId="33" fillId="0" borderId="17" xfId="0" applyNumberFormat="1" applyFont="1" applyBorder="1"/>
    <xf numFmtId="194" fontId="33" fillId="0" borderId="17" xfId="1" applyNumberFormat="1" applyFont="1" applyBorder="1"/>
    <xf numFmtId="195" fontId="33" fillId="0" borderId="111" xfId="0" applyNumberFormat="1" applyFont="1" applyBorder="1"/>
    <xf numFmtId="0" fontId="33" fillId="0" borderId="89" xfId="0" applyNumberFormat="1" applyFont="1" applyFill="1" applyBorder="1" applyAlignment="1" applyProtection="1">
      <alignment horizontal="left" wrapText="1"/>
    </xf>
    <xf numFmtId="1" fontId="4" fillId="0" borderId="0" xfId="0" applyNumberFormat="1" applyFont="1" applyAlignment="1">
      <alignment horizontal="center"/>
    </xf>
    <xf numFmtId="195" fontId="20" fillId="0" borderId="112" xfId="0" applyNumberFormat="1" applyFont="1" applyBorder="1"/>
    <xf numFmtId="195" fontId="20" fillId="0" borderId="113" xfId="0" applyNumberFormat="1" applyFont="1" applyBorder="1"/>
    <xf numFmtId="205" fontId="8" fillId="0" borderId="37" xfId="0" applyNumberFormat="1" applyFont="1" applyBorder="1"/>
    <xf numFmtId="195" fontId="37" fillId="0" borderId="0" xfId="0" applyNumberFormat="1" applyFont="1" applyFill="1" applyBorder="1" applyAlignment="1">
      <alignment horizontal="right"/>
    </xf>
    <xf numFmtId="195" fontId="1" fillId="0" borderId="41" xfId="2" applyNumberFormat="1" applyBorder="1"/>
    <xf numFmtId="195" fontId="1" fillId="0" borderId="38" xfId="2" applyNumberFormat="1" applyBorder="1"/>
    <xf numFmtId="0" fontId="41" fillId="0" borderId="0" xfId="0" applyFont="1"/>
    <xf numFmtId="0" fontId="39" fillId="0" borderId="0" xfId="0" applyNumberFormat="1" applyFont="1" applyFill="1" applyBorder="1" applyAlignment="1" applyProtection="1"/>
    <xf numFmtId="4" fontId="0" fillId="0" borderId="0" xfId="0" applyNumberFormat="1" applyFont="1" applyAlignment="1"/>
    <xf numFmtId="0" fontId="33" fillId="0" borderId="110" xfId="0" applyNumberFormat="1" applyFont="1" applyFill="1" applyBorder="1" applyAlignment="1" applyProtection="1">
      <alignment horizontal="left"/>
    </xf>
    <xf numFmtId="194" fontId="33" fillId="0" borderId="114" xfId="1" applyNumberFormat="1" applyFont="1" applyBorder="1"/>
    <xf numFmtId="205" fontId="33" fillId="0" borderId="115" xfId="0" applyNumberFormat="1" applyFont="1" applyFill="1" applyBorder="1" applyAlignment="1" applyProtection="1">
      <alignment horizontal="right"/>
    </xf>
    <xf numFmtId="0" fontId="33" fillId="0" borderId="116" xfId="0" applyNumberFormat="1" applyFont="1" applyFill="1" applyBorder="1" applyAlignment="1" applyProtection="1">
      <alignment horizontal="left" wrapText="1"/>
    </xf>
    <xf numFmtId="0" fontId="33" fillId="0" borderId="62" xfId="0" applyFont="1" applyBorder="1"/>
    <xf numFmtId="0" fontId="42" fillId="0" borderId="89" xfId="0" applyFont="1" applyBorder="1" applyAlignment="1">
      <alignment wrapText="1"/>
    </xf>
    <xf numFmtId="0" fontId="33" fillId="0" borderId="89" xfId="0" applyFont="1" applyBorder="1"/>
    <xf numFmtId="0" fontId="16" fillId="0" borderId="110" xfId="0" applyFont="1" applyBorder="1" applyAlignment="1">
      <alignment wrapText="1"/>
    </xf>
    <xf numFmtId="0" fontId="16" fillId="0" borderId="89" xfId="0" applyFont="1" applyBorder="1" applyAlignment="1">
      <alignment horizontal="left"/>
    </xf>
    <xf numFmtId="0" fontId="15" fillId="0" borderId="22" xfId="0" applyFont="1" applyBorder="1" applyAlignment="1">
      <alignment horizontal="right"/>
    </xf>
    <xf numFmtId="0" fontId="0" fillId="0" borderId="35" xfId="0" applyBorder="1" applyAlignment="1">
      <alignment wrapText="1"/>
    </xf>
    <xf numFmtId="0" fontId="0" fillId="0" borderId="12" xfId="0" applyBorder="1" applyAlignment="1">
      <alignment wrapText="1"/>
    </xf>
    <xf numFmtId="0" fontId="20" fillId="0" borderId="34" xfId="0" applyFont="1" applyBorder="1" applyAlignment="1">
      <alignment wrapText="1"/>
    </xf>
    <xf numFmtId="195" fontId="20" fillId="0" borderId="22" xfId="0" applyNumberFormat="1" applyFont="1" applyBorder="1"/>
    <xf numFmtId="195" fontId="20" fillId="0" borderId="0" xfId="0" applyNumberFormat="1" applyFont="1" applyBorder="1"/>
    <xf numFmtId="195" fontId="33" fillId="0" borderId="117" xfId="0" applyNumberFormat="1" applyFont="1" applyBorder="1" applyAlignment="1">
      <alignment wrapText="1"/>
    </xf>
    <xf numFmtId="194" fontId="33" fillId="0" borderId="118" xfId="1" applyNumberFormat="1" applyFont="1" applyBorder="1" applyAlignment="1">
      <alignment wrapText="1"/>
    </xf>
    <xf numFmtId="195" fontId="33" fillId="0" borderId="119" xfId="0" applyNumberFormat="1" applyFont="1" applyBorder="1" applyAlignment="1">
      <alignment wrapText="1"/>
    </xf>
    <xf numFmtId="0" fontId="0" fillId="0" borderId="0" xfId="0" applyAlignment="1">
      <alignment wrapText="1"/>
    </xf>
    <xf numFmtId="194" fontId="0" fillId="0" borderId="0" xfId="0" applyNumberFormat="1" applyAlignment="1">
      <alignment wrapText="1"/>
    </xf>
    <xf numFmtId="0" fontId="33" fillId="0" borderId="120" xfId="0" applyNumberFormat="1" applyFont="1" applyFill="1" applyBorder="1" applyAlignment="1" applyProtection="1">
      <alignment horizontal="left" wrapText="1"/>
    </xf>
    <xf numFmtId="195" fontId="33" fillId="0" borderId="44" xfId="0" applyNumberFormat="1" applyFont="1" applyBorder="1" applyAlignment="1">
      <alignment wrapText="1"/>
    </xf>
    <xf numFmtId="194" fontId="33" fillId="0" borderId="44" xfId="1" applyNumberFormat="1" applyFont="1" applyBorder="1" applyAlignment="1">
      <alignment wrapText="1"/>
    </xf>
    <xf numFmtId="195" fontId="33" fillId="0" borderId="121" xfId="0" applyNumberFormat="1" applyFont="1" applyBorder="1" applyAlignment="1">
      <alignment wrapText="1"/>
    </xf>
    <xf numFmtId="0" fontId="33" fillId="0" borderId="89" xfId="0" applyNumberFormat="1" applyFont="1" applyFill="1" applyBorder="1" applyAlignment="1" applyProtection="1">
      <alignment wrapText="1"/>
    </xf>
    <xf numFmtId="195" fontId="33" fillId="0" borderId="90" xfId="0" applyNumberFormat="1" applyFont="1" applyFill="1" applyBorder="1" applyAlignment="1" applyProtection="1">
      <alignment wrapText="1"/>
    </xf>
    <xf numFmtId="195" fontId="33" fillId="0" borderId="89" xfId="0" applyNumberFormat="1" applyFont="1" applyFill="1" applyBorder="1" applyAlignment="1" applyProtection="1">
      <alignment wrapText="1"/>
    </xf>
    <xf numFmtId="195" fontId="33" fillId="0" borderId="115" xfId="0" applyNumberFormat="1" applyFont="1" applyFill="1" applyBorder="1" applyAlignment="1" applyProtection="1">
      <alignment wrapText="1"/>
    </xf>
    <xf numFmtId="195" fontId="33" fillId="0" borderId="34" xfId="0" applyNumberFormat="1" applyFont="1" applyBorder="1" applyAlignment="1">
      <alignment wrapText="1"/>
    </xf>
    <xf numFmtId="194" fontId="33" fillId="0" borderId="33" xfId="1" applyNumberFormat="1" applyFont="1" applyBorder="1" applyAlignment="1">
      <alignment wrapText="1"/>
    </xf>
    <xf numFmtId="195" fontId="33" fillId="0" borderId="89" xfId="0" applyNumberFormat="1" applyFont="1" applyBorder="1" applyAlignment="1">
      <alignment wrapText="1"/>
    </xf>
    <xf numFmtId="195" fontId="33" fillId="0" borderId="17" xfId="0" applyNumberFormat="1" applyFont="1" applyBorder="1" applyAlignment="1">
      <alignment wrapText="1"/>
    </xf>
    <xf numFmtId="194" fontId="33" fillId="0" borderId="17" xfId="1" applyNumberFormat="1" applyFont="1" applyBorder="1" applyAlignment="1">
      <alignment wrapText="1"/>
    </xf>
    <xf numFmtId="195" fontId="33" fillId="0" borderId="122" xfId="0" applyNumberFormat="1" applyFont="1" applyBorder="1" applyAlignment="1">
      <alignment wrapText="1"/>
    </xf>
    <xf numFmtId="195" fontId="33" fillId="0" borderId="111" xfId="0" applyNumberFormat="1" applyFont="1" applyBorder="1" applyAlignment="1">
      <alignment wrapText="1"/>
    </xf>
    <xf numFmtId="3" fontId="43" fillId="0" borderId="0" xfId="0" applyNumberFormat="1" applyFont="1" applyAlignment="1">
      <alignment wrapText="1"/>
    </xf>
    <xf numFmtId="0" fontId="33" fillId="0" borderId="62" xfId="0" applyFont="1" applyBorder="1" applyAlignment="1">
      <alignment wrapText="1"/>
    </xf>
    <xf numFmtId="0" fontId="8" fillId="0" borderId="123" xfId="0" applyFont="1" applyBorder="1" applyAlignment="1">
      <alignment horizontal="center"/>
    </xf>
    <xf numFmtId="0" fontId="13" fillId="0" borderId="89" xfId="0" applyFont="1" applyBorder="1" applyAlignment="1">
      <alignment horizontal="center"/>
    </xf>
    <xf numFmtId="0" fontId="10" fillId="0" borderId="89" xfId="0" applyFont="1" applyBorder="1" applyAlignment="1">
      <alignment horizontal="center"/>
    </xf>
    <xf numFmtId="0" fontId="16" fillId="0" borderId="116" xfId="0" applyFont="1" applyBorder="1" applyAlignment="1">
      <alignment wrapText="1"/>
    </xf>
    <xf numFmtId="0" fontId="16" fillId="0" borderId="124" xfId="0" applyFont="1" applyBorder="1" applyAlignment="1">
      <alignment horizontal="left"/>
    </xf>
    <xf numFmtId="195" fontId="37" fillId="0" borderId="116" xfId="0" applyNumberFormat="1" applyFont="1" applyFill="1" applyBorder="1" applyAlignment="1">
      <alignment horizontal="right"/>
    </xf>
    <xf numFmtId="0" fontId="16" fillId="0" borderId="116" xfId="0" applyFont="1" applyBorder="1" applyAlignment="1">
      <alignment horizontal="center"/>
    </xf>
    <xf numFmtId="0" fontId="12" fillId="0" borderId="116" xfId="0" applyFont="1" applyBorder="1"/>
    <xf numFmtId="0" fontId="12" fillId="0" borderId="43" xfId="0" applyFont="1" applyBorder="1"/>
    <xf numFmtId="0" fontId="36" fillId="0" borderId="32" xfId="0" applyFont="1" applyBorder="1"/>
    <xf numFmtId="14" fontId="36" fillId="0" borderId="34" xfId="0" applyNumberFormat="1" applyFont="1" applyBorder="1"/>
    <xf numFmtId="0" fontId="10" fillId="0" borderId="43" xfId="0" applyFont="1" applyBorder="1"/>
    <xf numFmtId="0" fontId="10" fillId="0" borderId="34" xfId="0" applyFont="1" applyBorder="1"/>
    <xf numFmtId="0" fontId="12" fillId="0" borderId="116" xfId="0" applyFont="1" applyBorder="1" applyAlignment="1">
      <alignment horizontal="center"/>
    </xf>
    <xf numFmtId="0" fontId="10" fillId="0" borderId="116" xfId="0" applyFont="1" applyBorder="1" applyAlignment="1">
      <alignment horizontal="center"/>
    </xf>
    <xf numFmtId="0" fontId="35" fillId="0" borderId="125" xfId="0" applyFont="1" applyFill="1" applyBorder="1" applyAlignment="1">
      <alignment horizontal="center"/>
    </xf>
    <xf numFmtId="0" fontId="10" fillId="0" borderId="32" xfId="0" applyFont="1" applyBorder="1"/>
    <xf numFmtId="0" fontId="0" fillId="0" borderId="126" xfId="0" applyFont="1" applyBorder="1"/>
    <xf numFmtId="0" fontId="16" fillId="0" borderId="127" xfId="0" applyFont="1" applyBorder="1" applyAlignment="1">
      <alignment horizontal="center"/>
    </xf>
    <xf numFmtId="0" fontId="20" fillId="0" borderId="127" xfId="0" applyFont="1" applyBorder="1"/>
    <xf numFmtId="0" fontId="9" fillId="0" borderId="128" xfId="0" applyFont="1" applyBorder="1"/>
    <xf numFmtId="14" fontId="36" fillId="0" borderId="129" xfId="0" applyNumberFormat="1" applyFont="1" applyBorder="1"/>
    <xf numFmtId="0" fontId="13" fillId="0" borderId="130" xfId="0" applyFont="1" applyBorder="1"/>
    <xf numFmtId="0" fontId="13" fillId="0" borderId="131" xfId="0" applyFont="1" applyBorder="1" applyAlignment="1">
      <alignment horizontal="center"/>
    </xf>
    <xf numFmtId="0" fontId="10" fillId="0" borderId="132" xfId="0" applyFont="1" applyBorder="1"/>
    <xf numFmtId="0" fontId="11" fillId="0" borderId="128" xfId="0" applyFont="1" applyBorder="1"/>
    <xf numFmtId="0" fontId="8" fillId="0" borderId="128" xfId="0" applyFont="1" applyBorder="1" applyAlignment="1">
      <alignment horizontal="center"/>
    </xf>
    <xf numFmtId="0" fontId="8" fillId="0" borderId="124" xfId="0" applyFont="1" applyBorder="1" applyAlignment="1">
      <alignment horizontal="center"/>
    </xf>
    <xf numFmtId="195" fontId="37" fillId="0" borderId="124" xfId="0" applyNumberFormat="1" applyFont="1" applyFill="1" applyBorder="1" applyAlignment="1">
      <alignment horizontal="right"/>
    </xf>
    <xf numFmtId="0" fontId="13" fillId="0" borderId="124" xfId="0" applyFont="1" applyBorder="1" applyAlignment="1">
      <alignment horizontal="center"/>
    </xf>
    <xf numFmtId="0" fontId="12" fillId="0" borderId="133" xfId="0" applyFont="1" applyBorder="1" applyAlignment="1">
      <alignment horizontal="center"/>
    </xf>
    <xf numFmtId="0" fontId="12" fillId="0" borderId="127" xfId="0" applyFont="1" applyBorder="1" applyAlignment="1">
      <alignment horizontal="center"/>
    </xf>
    <xf numFmtId="0" fontId="0" fillId="0" borderId="127" xfId="0" applyBorder="1"/>
    <xf numFmtId="0" fontId="7" fillId="0" borderId="127" xfId="0" applyFont="1" applyBorder="1"/>
    <xf numFmtId="0" fontId="7" fillId="0" borderId="134" xfId="0" applyFont="1" applyBorder="1"/>
    <xf numFmtId="0" fontId="0" fillId="0" borderId="124" xfId="0" applyBorder="1"/>
    <xf numFmtId="0" fontId="16" fillId="0" borderId="89" xfId="0" applyNumberFormat="1" applyFont="1" applyFill="1" applyBorder="1" applyAlignment="1" applyProtection="1">
      <alignment horizontal="left" wrapText="1"/>
    </xf>
    <xf numFmtId="0" fontId="20" fillId="0" borderId="124" xfId="0" applyFont="1" applyBorder="1" applyAlignment="1">
      <alignment wrapText="1"/>
    </xf>
    <xf numFmtId="0" fontId="16" fillId="0" borderId="116" xfId="0" applyNumberFormat="1" applyFont="1" applyFill="1" applyBorder="1" applyAlignment="1" applyProtection="1">
      <alignment horizontal="left" wrapText="1"/>
    </xf>
    <xf numFmtId="0" fontId="12" fillId="0" borderId="0" xfId="0" applyFont="1" applyBorder="1" applyAlignment="1">
      <alignment wrapText="1"/>
    </xf>
    <xf numFmtId="0" fontId="0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15" fillId="0" borderId="3" xfId="0" applyFont="1" applyBorder="1" applyAlignment="1">
      <alignment wrapText="1"/>
    </xf>
    <xf numFmtId="0" fontId="4" fillId="0" borderId="9" xfId="0" applyFont="1" applyBorder="1" applyAlignment="1">
      <alignment horizontal="left" wrapText="1"/>
    </xf>
    <xf numFmtId="0" fontId="4" fillId="0" borderId="6" xfId="0" applyFont="1" applyBorder="1" applyAlignment="1">
      <alignment horizontal="left" wrapText="1"/>
    </xf>
    <xf numFmtId="0" fontId="20" fillId="0" borderId="0" xfId="0" applyFont="1" applyBorder="1" applyAlignment="1">
      <alignment wrapText="1"/>
    </xf>
    <xf numFmtId="0" fontId="5" fillId="0" borderId="36" xfId="0" applyFont="1" applyBorder="1" applyAlignment="1">
      <alignment horizontal="center" wrapText="1"/>
    </xf>
    <xf numFmtId="0" fontId="10" fillId="0" borderId="2" xfId="0" applyFont="1" applyBorder="1" applyAlignment="1">
      <alignment wrapText="1"/>
    </xf>
    <xf numFmtId="0" fontId="0" fillId="0" borderId="0" xfId="0" applyBorder="1" applyAlignment="1">
      <alignment wrapText="1"/>
    </xf>
    <xf numFmtId="0" fontId="11" fillId="0" borderId="0" xfId="0" applyFont="1" applyBorder="1" applyAlignment="1">
      <alignment wrapText="1"/>
    </xf>
    <xf numFmtId="0" fontId="8" fillId="0" borderId="0" xfId="0" applyFont="1" applyBorder="1" applyAlignment="1">
      <alignment wrapText="1"/>
    </xf>
    <xf numFmtId="0" fontId="0" fillId="0" borderId="8" xfId="0" applyBorder="1" applyAlignment="1">
      <alignment wrapText="1"/>
    </xf>
    <xf numFmtId="0" fontId="0" fillId="3" borderId="0" xfId="0" applyFill="1" applyBorder="1"/>
    <xf numFmtId="211" fontId="1" fillId="0" borderId="0" xfId="1" applyNumberFormat="1"/>
    <xf numFmtId="0" fontId="0" fillId="0" borderId="37" xfId="0" applyBorder="1" applyAlignment="1">
      <alignment wrapText="1"/>
    </xf>
    <xf numFmtId="0" fontId="10" fillId="0" borderId="73" xfId="0" applyFont="1" applyBorder="1"/>
    <xf numFmtId="0" fontId="7" fillId="0" borderId="49" xfId="0" applyFont="1" applyBorder="1" applyAlignment="1">
      <alignment wrapText="1"/>
    </xf>
    <xf numFmtId="0" fontId="0" fillId="0" borderId="54" xfId="0" applyFont="1" applyBorder="1"/>
    <xf numFmtId="0" fontId="5" fillId="0" borderId="80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4" fillId="0" borderId="123" xfId="0" applyFont="1" applyBorder="1" applyAlignment="1">
      <alignment horizontal="center"/>
    </xf>
    <xf numFmtId="0" fontId="2" fillId="0" borderId="135" xfId="0" applyFont="1" applyBorder="1" applyAlignment="1">
      <alignment horizontal="left"/>
    </xf>
    <xf numFmtId="0" fontId="5" fillId="0" borderId="136" xfId="0" applyFont="1" applyBorder="1" applyAlignment="1">
      <alignment horizontal="center"/>
    </xf>
    <xf numFmtId="0" fontId="4" fillId="0" borderId="135" xfId="0" applyFont="1" applyFill="1" applyBorder="1" applyAlignment="1">
      <alignment horizontal="left" wrapText="1"/>
    </xf>
    <xf numFmtId="0" fontId="25" fillId="0" borderId="137" xfId="0" applyFont="1" applyFill="1" applyBorder="1" applyAlignment="1">
      <alignment horizontal="left"/>
    </xf>
    <xf numFmtId="0" fontId="5" fillId="0" borderId="138" xfId="0" applyFont="1" applyBorder="1" applyAlignment="1">
      <alignment horizontal="center"/>
    </xf>
    <xf numFmtId="0" fontId="5" fillId="0" borderId="98" xfId="0" applyFont="1" applyBorder="1" applyAlignment="1">
      <alignment horizontal="center"/>
    </xf>
    <xf numFmtId="0" fontId="36" fillId="0" borderId="139" xfId="0" applyFont="1" applyBorder="1"/>
    <xf numFmtId="0" fontId="20" fillId="0" borderId="140" xfId="0" applyFont="1" applyBorder="1" applyAlignment="1">
      <alignment horizontal="right" wrapText="1"/>
    </xf>
    <xf numFmtId="0" fontId="36" fillId="0" borderId="141" xfId="0" applyFont="1" applyBorder="1"/>
    <xf numFmtId="0" fontId="36" fillId="0" borderId="142" xfId="0" applyFont="1" applyBorder="1"/>
    <xf numFmtId="0" fontId="20" fillId="0" borderId="140" xfId="0" applyFont="1" applyBorder="1" applyAlignment="1">
      <alignment horizontal="right"/>
    </xf>
    <xf numFmtId="195" fontId="4" fillId="0" borderId="89" xfId="2" applyNumberFormat="1" applyFont="1" applyBorder="1"/>
    <xf numFmtId="195" fontId="0" fillId="0" borderId="89" xfId="2" applyNumberFormat="1" applyFont="1" applyBorder="1"/>
    <xf numFmtId="192" fontId="16" fillId="0" borderId="89" xfId="0" applyNumberFormat="1" applyFont="1" applyBorder="1" applyAlignment="1"/>
    <xf numFmtId="192" fontId="5" fillId="0" borderId="143" xfId="0" applyNumberFormat="1" applyFont="1" applyFill="1" applyBorder="1" applyAlignment="1" applyProtection="1">
      <alignment horizontal="right"/>
    </xf>
    <xf numFmtId="0" fontId="20" fillId="0" borderId="124" xfId="0" applyFont="1" applyBorder="1" applyAlignment="1">
      <alignment horizontal="right" wrapText="1"/>
    </xf>
    <xf numFmtId="0" fontId="20" fillId="0" borderId="0" xfId="0" applyFont="1" applyBorder="1" applyAlignment="1">
      <alignment horizontal="right" wrapText="1"/>
    </xf>
    <xf numFmtId="195" fontId="20" fillId="0" borderId="37" xfId="0" applyNumberFormat="1" applyFont="1" applyBorder="1"/>
    <xf numFmtId="1" fontId="0" fillId="0" borderId="33" xfId="0" applyNumberFormat="1" applyBorder="1"/>
    <xf numFmtId="1" fontId="0" fillId="0" borderId="34" xfId="0" applyNumberFormat="1" applyBorder="1"/>
    <xf numFmtId="9" fontId="8" fillId="0" borderId="18" xfId="0" applyNumberFormat="1" applyFont="1" applyBorder="1"/>
    <xf numFmtId="194" fontId="8" fillId="0" borderId="17" xfId="0" applyNumberFormat="1" applyFont="1" applyBorder="1"/>
    <xf numFmtId="0" fontId="0" fillId="0" borderId="17" xfId="0" applyBorder="1" applyAlignment="1">
      <alignment wrapText="1"/>
    </xf>
    <xf numFmtId="0" fontId="9" fillId="0" borderId="18" xfId="0" applyFont="1" applyBorder="1"/>
    <xf numFmtId="0" fontId="9" fillId="0" borderId="23" xfId="0" applyFont="1" applyBorder="1"/>
    <xf numFmtId="0" fontId="13" fillId="0" borderId="89" xfId="0" applyFont="1" applyBorder="1"/>
    <xf numFmtId="192" fontId="33" fillId="0" borderId="0" xfId="0" applyNumberFormat="1" applyFont="1" applyBorder="1" applyAlignment="1"/>
    <xf numFmtId="192" fontId="33" fillId="0" borderId="0" xfId="0" applyNumberFormat="1" applyFont="1" applyFill="1" applyBorder="1" applyAlignment="1"/>
    <xf numFmtId="0" fontId="6" fillId="0" borderId="144" xfId="0" applyFont="1" applyBorder="1" applyAlignment="1">
      <alignment horizontal="center"/>
    </xf>
    <xf numFmtId="0" fontId="6" fillId="0" borderId="145" xfId="0" applyFont="1" applyBorder="1" applyAlignment="1">
      <alignment horizontal="center"/>
    </xf>
    <xf numFmtId="0" fontId="6" fillId="0" borderId="146" xfId="0" applyFont="1" applyBorder="1" applyAlignment="1">
      <alignment horizontal="center"/>
    </xf>
    <xf numFmtId="0" fontId="6" fillId="0" borderId="147" xfId="0" applyFont="1" applyBorder="1" applyAlignment="1">
      <alignment horizontal="center" vertical="center" wrapText="1"/>
    </xf>
    <xf numFmtId="0" fontId="6" fillId="0" borderId="148" xfId="0" applyFont="1" applyBorder="1"/>
    <xf numFmtId="195" fontId="1" fillId="0" borderId="149" xfId="2" applyNumberFormat="1" applyBorder="1"/>
    <xf numFmtId="0" fontId="0" fillId="0" borderId="150" xfId="0" applyNumberFormat="1" applyFont="1" applyFill="1" applyBorder="1" applyAlignment="1" applyProtection="1">
      <alignment horizontal="left"/>
    </xf>
    <xf numFmtId="0" fontId="4" fillId="0" borderId="141" xfId="0" applyFont="1" applyBorder="1"/>
    <xf numFmtId="0" fontId="4" fillId="0" borderId="150" xfId="0" applyFont="1" applyBorder="1"/>
    <xf numFmtId="195" fontId="4" fillId="0" borderId="140" xfId="2" applyNumberFormat="1" applyFont="1" applyBorder="1"/>
    <xf numFmtId="0" fontId="0" fillId="0" borderId="151" xfId="0" applyNumberFormat="1" applyFont="1" applyFill="1" applyBorder="1" applyAlignment="1" applyProtection="1">
      <alignment horizontal="left"/>
    </xf>
    <xf numFmtId="0" fontId="0" fillId="0" borderId="141" xfId="0" applyBorder="1"/>
    <xf numFmtId="0" fontId="6" fillId="0" borderId="150" xfId="0" applyFont="1" applyBorder="1"/>
    <xf numFmtId="0" fontId="6" fillId="0" borderId="152" xfId="0" applyFont="1" applyBorder="1" applyAlignment="1">
      <alignment horizontal="right"/>
    </xf>
    <xf numFmtId="195" fontId="4" fillId="0" borderId="153" xfId="2" applyNumberFormat="1" applyFont="1" applyBorder="1" applyAlignment="1">
      <alignment horizontal="right"/>
    </xf>
    <xf numFmtId="195" fontId="4" fillId="0" borderId="154" xfId="2" applyNumberFormat="1" applyFont="1" applyBorder="1" applyAlignment="1">
      <alignment horizontal="right"/>
    </xf>
    <xf numFmtId="0" fontId="34" fillId="0" borderId="0" xfId="6"/>
    <xf numFmtId="0" fontId="28" fillId="0" borderId="0" xfId="6" applyFont="1" applyAlignment="1">
      <alignment horizontal="center"/>
    </xf>
    <xf numFmtId="0" fontId="5" fillId="0" borderId="99" xfId="6" applyFont="1" applyBorder="1" applyAlignment="1">
      <alignment horizontal="left"/>
    </xf>
    <xf numFmtId="0" fontId="5" fillId="0" borderId="96" xfId="6" applyFont="1" applyBorder="1" applyAlignment="1">
      <alignment horizontal="left"/>
    </xf>
    <xf numFmtId="0" fontId="5" fillId="0" borderId="97" xfId="6" applyFont="1" applyBorder="1" applyAlignment="1">
      <alignment horizontal="left"/>
    </xf>
    <xf numFmtId="0" fontId="5" fillId="0" borderId="96" xfId="6" applyFont="1" applyBorder="1"/>
    <xf numFmtId="0" fontId="34" fillId="0" borderId="97" xfId="6" applyBorder="1"/>
    <xf numFmtId="0" fontId="5" fillId="0" borderId="0" xfId="6" applyFont="1"/>
    <xf numFmtId="0" fontId="5" fillId="0" borderId="155" xfId="6" applyFont="1" applyBorder="1" applyAlignment="1">
      <alignment horizontal="left"/>
    </xf>
    <xf numFmtId="0" fontId="5" fillId="0" borderId="156" xfId="6" applyFont="1" applyBorder="1" applyAlignment="1">
      <alignment horizontal="left"/>
    </xf>
    <xf numFmtId="0" fontId="5" fillId="0" borderId="157" xfId="6" applyFont="1" applyBorder="1" applyAlignment="1">
      <alignment horizontal="left"/>
    </xf>
    <xf numFmtId="0" fontId="5" fillId="0" borderId="0" xfId="6" applyFont="1" applyAlignment="1">
      <alignment horizontal="left"/>
    </xf>
    <xf numFmtId="0" fontId="5" fillId="0" borderId="99" xfId="6" applyFont="1" applyBorder="1"/>
    <xf numFmtId="0" fontId="34" fillId="0" borderId="156" xfId="6" applyBorder="1"/>
    <xf numFmtId="0" fontId="34" fillId="0" borderId="157" xfId="6" applyBorder="1"/>
    <xf numFmtId="0" fontId="4" fillId="0" borderId="0" xfId="6" applyFont="1" applyAlignment="1">
      <alignment horizontal="left"/>
    </xf>
    <xf numFmtId="0" fontId="4" fillId="0" borderId="0" xfId="6" applyFont="1" applyAlignment="1">
      <alignment horizontal="center"/>
    </xf>
    <xf numFmtId="0" fontId="30" fillId="0" borderId="0" xfId="6" applyFont="1" applyAlignment="1">
      <alignment horizontal="left"/>
    </xf>
    <xf numFmtId="0" fontId="6" fillId="0" borderId="0" xfId="6" applyFont="1" applyAlignment="1">
      <alignment horizontal="left"/>
    </xf>
    <xf numFmtId="0" fontId="4" fillId="0" borderId="0" xfId="6" applyFont="1"/>
    <xf numFmtId="0" fontId="6" fillId="0" borderId="43" xfId="6" applyFont="1" applyBorder="1" applyAlignment="1">
      <alignment wrapText="1"/>
    </xf>
    <xf numFmtId="0" fontId="6" fillId="0" borderId="62" xfId="6" applyFont="1" applyBorder="1" applyAlignment="1">
      <alignment wrapText="1"/>
    </xf>
    <xf numFmtId="38" fontId="34" fillId="0" borderId="62" xfId="1" applyNumberFormat="1" applyFont="1" applyBorder="1"/>
    <xf numFmtId="0" fontId="34" fillId="0" borderId="89" xfId="6" applyBorder="1"/>
    <xf numFmtId="0" fontId="6" fillId="0" borderId="43" xfId="6" applyFont="1" applyBorder="1"/>
    <xf numFmtId="38" fontId="34" fillId="0" borderId="43" xfId="1" applyNumberFormat="1" applyFont="1" applyBorder="1"/>
    <xf numFmtId="0" fontId="6" fillId="0" borderId="89" xfId="6" applyFont="1" applyBorder="1"/>
    <xf numFmtId="38" fontId="34" fillId="0" borderId="33" xfId="1" applyNumberFormat="1" applyFont="1" applyBorder="1"/>
    <xf numFmtId="0" fontId="34" fillId="0" borderId="33" xfId="6" applyBorder="1"/>
    <xf numFmtId="0" fontId="6" fillId="0" borderId="39" xfId="6" applyFont="1" applyBorder="1"/>
    <xf numFmtId="0" fontId="4" fillId="0" borderId="89" xfId="6" applyFont="1" applyBorder="1"/>
    <xf numFmtId="0" fontId="6" fillId="0" borderId="33" xfId="6" applyFont="1" applyBorder="1"/>
    <xf numFmtId="0" fontId="6" fillId="0" borderId="39" xfId="6" applyFont="1" applyBorder="1" applyAlignment="1">
      <alignment horizontal="right"/>
    </xf>
    <xf numFmtId="0" fontId="6" fillId="0" borderId="69" xfId="6" applyFont="1" applyBorder="1" applyAlignment="1">
      <alignment horizontal="right"/>
    </xf>
    <xf numFmtId="0" fontId="33" fillId="0" borderId="96" xfId="6" applyFont="1" applyBorder="1"/>
    <xf numFmtId="0" fontId="4" fillId="0" borderId="150" xfId="6" applyFont="1" applyBorder="1"/>
    <xf numFmtId="0" fontId="34" fillId="0" borderId="98" xfId="6" applyBorder="1"/>
    <xf numFmtId="0" fontId="6" fillId="0" borderId="150" xfId="6" applyFont="1" applyBorder="1"/>
    <xf numFmtId="0" fontId="34" fillId="0" borderId="0" xfId="6" applyAlignment="1">
      <alignment horizontal="center"/>
    </xf>
    <xf numFmtId="0" fontId="33" fillId="0" borderId="155" xfId="6" applyFont="1" applyBorder="1"/>
    <xf numFmtId="0" fontId="33" fillId="0" borderId="156" xfId="6" applyFont="1" applyBorder="1"/>
    <xf numFmtId="0" fontId="4" fillId="0" borderId="0" xfId="6" applyFont="1" applyAlignment="1">
      <alignment horizontal="center" vertical="center" wrapText="1"/>
    </xf>
    <xf numFmtId="0" fontId="6" fillId="0" borderId="158" xfId="6" applyFont="1" applyBorder="1" applyAlignment="1">
      <alignment horizontal="center"/>
    </xf>
    <xf numFmtId="0" fontId="6" fillId="0" borderId="159" xfId="6" applyFont="1" applyBorder="1" applyAlignment="1">
      <alignment horizontal="center"/>
    </xf>
    <xf numFmtId="0" fontId="6" fillId="0" borderId="159" xfId="6" applyFont="1" applyBorder="1" applyAlignment="1">
      <alignment horizontal="center" wrapText="1"/>
    </xf>
    <xf numFmtId="0" fontId="6" fillId="0" borderId="160" xfId="6" applyFont="1" applyBorder="1" applyAlignment="1">
      <alignment horizontal="center"/>
    </xf>
    <xf numFmtId="0" fontId="6" fillId="0" borderId="148" xfId="6" applyFont="1" applyBorder="1" applyAlignment="1">
      <alignment wrapText="1"/>
    </xf>
    <xf numFmtId="0" fontId="34" fillId="0" borderId="161" xfId="6" applyBorder="1"/>
    <xf numFmtId="0" fontId="6" fillId="0" borderId="148" xfId="6" applyFont="1" applyBorder="1"/>
    <xf numFmtId="0" fontId="34" fillId="0" borderId="162" xfId="6" applyBorder="1"/>
    <xf numFmtId="0" fontId="34" fillId="0" borderId="151" xfId="6" applyBorder="1"/>
    <xf numFmtId="0" fontId="34" fillId="0" borderId="150" xfId="6" applyBorder="1"/>
    <xf numFmtId="0" fontId="6" fillId="0" borderId="142" xfId="6" applyFont="1" applyBorder="1"/>
    <xf numFmtId="0" fontId="34" fillId="0" borderId="142" xfId="6" applyBorder="1"/>
    <xf numFmtId="0" fontId="6" fillId="0" borderId="141" xfId="6" applyFont="1" applyBorder="1"/>
    <xf numFmtId="0" fontId="6" fillId="0" borderId="145" xfId="6" applyFont="1" applyBorder="1" applyAlignment="1">
      <alignment horizontal="right"/>
    </xf>
    <xf numFmtId="0" fontId="4" fillId="0" borderId="0" xfId="6" applyFont="1" applyBorder="1"/>
    <xf numFmtId="0" fontId="34" fillId="0" borderId="0" xfId="6" applyBorder="1"/>
    <xf numFmtId="0" fontId="6" fillId="0" borderId="0" xfId="6" applyFont="1" applyBorder="1"/>
    <xf numFmtId="0" fontId="33" fillId="0" borderId="0" xfId="6" applyFont="1" applyBorder="1"/>
    <xf numFmtId="0" fontId="34" fillId="0" borderId="69" xfId="6" applyBorder="1"/>
    <xf numFmtId="0" fontId="34" fillId="0" borderId="163" xfId="6" applyBorder="1"/>
    <xf numFmtId="0" fontId="34" fillId="0" borderId="99" xfId="6" applyBorder="1"/>
    <xf numFmtId="0" fontId="34" fillId="0" borderId="96" xfId="6" applyBorder="1"/>
    <xf numFmtId="0" fontId="5" fillId="0" borderId="36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171" xfId="0" applyFont="1" applyBorder="1" applyAlignment="1">
      <alignment horizontal="center" vertical="center" wrapText="1"/>
    </xf>
    <xf numFmtId="0" fontId="5" fillId="0" borderId="172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/>
    </xf>
    <xf numFmtId="0" fontId="2" fillId="0" borderId="83" xfId="0" applyFont="1" applyBorder="1" applyAlignment="1">
      <alignment horizontal="center" vertical="center"/>
    </xf>
    <xf numFmtId="0" fontId="2" fillId="0" borderId="164" xfId="0" applyFont="1" applyBorder="1" applyAlignment="1">
      <alignment horizontal="center" vertical="center"/>
    </xf>
    <xf numFmtId="0" fontId="2" fillId="0" borderId="165" xfId="0" applyFont="1" applyBorder="1" applyAlignment="1">
      <alignment horizontal="center" vertical="center"/>
    </xf>
    <xf numFmtId="0" fontId="2" fillId="0" borderId="166" xfId="0" applyFont="1" applyBorder="1" applyAlignment="1">
      <alignment horizontal="center" vertical="center"/>
    </xf>
    <xf numFmtId="0" fontId="2" fillId="0" borderId="167" xfId="0" applyFont="1" applyBorder="1" applyAlignment="1">
      <alignment horizontal="center" vertical="center"/>
    </xf>
    <xf numFmtId="0" fontId="3" fillId="0" borderId="168" xfId="0" applyFont="1" applyBorder="1" applyAlignment="1">
      <alignment horizontal="center"/>
    </xf>
    <xf numFmtId="0" fontId="3" fillId="0" borderId="169" xfId="0" applyFont="1" applyBorder="1" applyAlignment="1">
      <alignment horizontal="center"/>
    </xf>
    <xf numFmtId="0" fontId="3" fillId="0" borderId="17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194" fontId="4" fillId="0" borderId="18" xfId="3" applyNumberFormat="1" applyFont="1" applyBorder="1" applyAlignment="1">
      <alignment horizontal="center"/>
    </xf>
    <xf numFmtId="194" fontId="4" fillId="0" borderId="19" xfId="3" applyNumberFormat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15" fillId="0" borderId="75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61" xfId="0" applyFont="1" applyBorder="1" applyAlignment="1">
      <alignment horizontal="center"/>
    </xf>
    <xf numFmtId="0" fontId="15" fillId="0" borderId="28" xfId="0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52" xfId="0" applyFont="1" applyBorder="1" applyAlignment="1">
      <alignment horizontal="center"/>
    </xf>
    <xf numFmtId="0" fontId="4" fillId="2" borderId="36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9" fillId="0" borderId="3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11" fillId="0" borderId="173" xfId="0" applyFont="1" applyBorder="1" applyAlignment="1">
      <alignment horizontal="center"/>
    </xf>
    <xf numFmtId="0" fontId="11" fillId="0" borderId="17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9" fillId="0" borderId="44" xfId="0" applyFont="1" applyBorder="1" applyAlignment="1">
      <alignment horizontal="center"/>
    </xf>
    <xf numFmtId="0" fontId="19" fillId="0" borderId="33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15" fillId="0" borderId="175" xfId="0" applyFont="1" applyBorder="1" applyAlignment="1">
      <alignment horizontal="center"/>
    </xf>
    <xf numFmtId="0" fontId="15" fillId="0" borderId="166" xfId="0" applyFont="1" applyBorder="1" applyAlignment="1">
      <alignment horizontal="center"/>
    </xf>
    <xf numFmtId="0" fontId="28" fillId="0" borderId="0" xfId="6" applyFont="1" applyAlignment="1">
      <alignment horizontal="center"/>
    </xf>
    <xf numFmtId="0" fontId="34" fillId="0" borderId="150" xfId="6" applyBorder="1" applyAlignment="1">
      <alignment horizontal="center"/>
    </xf>
    <xf numFmtId="0" fontId="34" fillId="0" borderId="0" xfId="6" applyBorder="1" applyAlignment="1">
      <alignment horizontal="center"/>
    </xf>
    <xf numFmtId="0" fontId="34" fillId="0" borderId="98" xfId="6" applyBorder="1" applyAlignment="1">
      <alignment horizontal="center"/>
    </xf>
    <xf numFmtId="0" fontId="4" fillId="0" borderId="155" xfId="6" applyFont="1" applyBorder="1" applyAlignment="1">
      <alignment horizontal="center" vertical="center" wrapText="1"/>
    </xf>
    <xf numFmtId="0" fontId="4" fillId="0" borderId="156" xfId="6" applyFont="1" applyBorder="1" applyAlignment="1">
      <alignment horizontal="center" vertical="center" wrapText="1"/>
    </xf>
    <xf numFmtId="0" fontId="4" fillId="0" borderId="157" xfId="6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78" xfId="0" applyFont="1" applyBorder="1" applyAlignment="1">
      <alignment horizontal="center"/>
    </xf>
    <xf numFmtId="0" fontId="6" fillId="0" borderId="179" xfId="0" applyFont="1" applyBorder="1" applyAlignment="1">
      <alignment horizontal="center"/>
    </xf>
    <xf numFmtId="0" fontId="6" fillId="0" borderId="180" xfId="0" applyFont="1" applyBorder="1" applyAlignment="1">
      <alignment horizontal="center"/>
    </xf>
    <xf numFmtId="0" fontId="32" fillId="0" borderId="95" xfId="0" applyFont="1" applyBorder="1" applyAlignment="1">
      <alignment horizontal="center" vertical="center" wrapText="1"/>
    </xf>
    <xf numFmtId="0" fontId="32" fillId="0" borderId="69" xfId="0" applyFont="1" applyBorder="1" applyAlignment="1">
      <alignment horizontal="center" vertical="center" wrapText="1"/>
    </xf>
    <xf numFmtId="0" fontId="32" fillId="0" borderId="181" xfId="0" applyFont="1" applyBorder="1" applyAlignment="1">
      <alignment horizontal="center" vertical="center" wrapText="1"/>
    </xf>
    <xf numFmtId="0" fontId="32" fillId="0" borderId="53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65" xfId="0" applyFont="1" applyBorder="1" applyAlignment="1">
      <alignment horizontal="center" vertical="center" wrapText="1"/>
    </xf>
    <xf numFmtId="0" fontId="4" fillId="0" borderId="66" xfId="0" applyFont="1" applyBorder="1" applyAlignment="1">
      <alignment horizontal="center" vertical="center" wrapText="1"/>
    </xf>
    <xf numFmtId="0" fontId="31" fillId="0" borderId="123" xfId="0" applyFont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0" fontId="33" fillId="0" borderId="175" xfId="0" applyFont="1" applyBorder="1" applyAlignment="1">
      <alignment horizontal="center"/>
    </xf>
    <xf numFmtId="0" fontId="33" fillId="0" borderId="176" xfId="0" applyFont="1" applyBorder="1" applyAlignment="1">
      <alignment horizontal="center"/>
    </xf>
    <xf numFmtId="0" fontId="33" fillId="0" borderId="135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30" fillId="0" borderId="0" xfId="0" applyFont="1" applyBorder="1" applyAlignment="1">
      <alignment horizontal="left"/>
    </xf>
    <xf numFmtId="0" fontId="6" fillId="0" borderId="99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177" xfId="0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6" fillId="0" borderId="182" xfId="0" applyFont="1" applyBorder="1" applyAlignment="1">
      <alignment horizontal="center"/>
    </xf>
    <xf numFmtId="0" fontId="6" fillId="0" borderId="95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6" fillId="0" borderId="181" xfId="0" applyFont="1" applyBorder="1" applyAlignment="1">
      <alignment horizontal="center"/>
    </xf>
    <xf numFmtId="0" fontId="6" fillId="0" borderId="183" xfId="0" applyFont="1" applyBorder="1" applyAlignment="1">
      <alignment horizontal="center"/>
    </xf>
    <xf numFmtId="0" fontId="6" fillId="0" borderId="37" xfId="0" applyFont="1" applyBorder="1" applyAlignment="1">
      <alignment horizontal="center"/>
    </xf>
    <xf numFmtId="0" fontId="6" fillId="0" borderId="162" xfId="0" applyFont="1" applyBorder="1" applyAlignment="1">
      <alignment horizontal="center"/>
    </xf>
  </cellXfs>
  <cellStyles count="7">
    <cellStyle name="Millares" xfId="1" builtinId="3"/>
    <cellStyle name="Millares [0]" xfId="2" builtinId="6"/>
    <cellStyle name="Moneda" xfId="3" builtinId="4"/>
    <cellStyle name="Normal" xfId="0" builtinId="0"/>
    <cellStyle name="Normal 2" xfId="4" xr:uid="{08833770-DCD8-41D6-B324-E853251DE89D}"/>
    <cellStyle name="Normal 3" xfId="5" xr:uid="{C8B85196-D3DC-463C-9EF2-F9A805C1D969}"/>
    <cellStyle name="Normal 6" xfId="6" xr:uid="{DECA55E9-D9CB-4180-8343-2F6223C2E80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19</xdr:row>
      <xdr:rowOff>0</xdr:rowOff>
    </xdr:from>
    <xdr:to>
      <xdr:col>21</xdr:col>
      <xdr:colOff>0</xdr:colOff>
      <xdr:row>22</xdr:row>
      <xdr:rowOff>31750</xdr:rowOff>
    </xdr:to>
    <xdr:sp macro="" textlink="">
      <xdr:nvSpPr>
        <xdr:cNvPr id="79997" name="Line 1">
          <a:extLst>
            <a:ext uri="{FF2B5EF4-FFF2-40B4-BE49-F238E27FC236}">
              <a16:creationId xmlns:a16="http://schemas.microsoft.com/office/drawing/2014/main" id="{B49BCD01-17B2-B102-C913-89B7C92F1DB1}"/>
            </a:ext>
          </a:extLst>
        </xdr:cNvPr>
        <xdr:cNvSpPr>
          <a:spLocks noChangeShapeType="1"/>
        </xdr:cNvSpPr>
      </xdr:nvSpPr>
      <xdr:spPr bwMode="auto">
        <a:xfrm>
          <a:off x="11918950" y="4038600"/>
          <a:ext cx="0" cy="10795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0</xdr:colOff>
      <xdr:row>19</xdr:row>
      <xdr:rowOff>0</xdr:rowOff>
    </xdr:from>
    <xdr:to>
      <xdr:col>21</xdr:col>
      <xdr:colOff>0</xdr:colOff>
      <xdr:row>22</xdr:row>
      <xdr:rowOff>38100</xdr:rowOff>
    </xdr:to>
    <xdr:sp macro="" textlink="">
      <xdr:nvSpPr>
        <xdr:cNvPr id="79998" name="Line 2">
          <a:extLst>
            <a:ext uri="{FF2B5EF4-FFF2-40B4-BE49-F238E27FC236}">
              <a16:creationId xmlns:a16="http://schemas.microsoft.com/office/drawing/2014/main" id="{3DE6A510-73B8-231A-2D33-ED3EC9A6DA0E}"/>
            </a:ext>
          </a:extLst>
        </xdr:cNvPr>
        <xdr:cNvSpPr>
          <a:spLocks noChangeShapeType="1"/>
        </xdr:cNvSpPr>
      </xdr:nvSpPr>
      <xdr:spPr bwMode="auto">
        <a:xfrm>
          <a:off x="11918950" y="4038600"/>
          <a:ext cx="0" cy="10858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22</xdr:col>
      <xdr:colOff>0</xdr:colOff>
      <xdr:row>18</xdr:row>
      <xdr:rowOff>12700</xdr:rowOff>
    </xdr:from>
    <xdr:to>
      <xdr:col>22</xdr:col>
      <xdr:colOff>0</xdr:colOff>
      <xdr:row>20</xdr:row>
      <xdr:rowOff>165100</xdr:rowOff>
    </xdr:to>
    <xdr:sp macro="" textlink="">
      <xdr:nvSpPr>
        <xdr:cNvPr id="79999" name="Line 3">
          <a:extLst>
            <a:ext uri="{FF2B5EF4-FFF2-40B4-BE49-F238E27FC236}">
              <a16:creationId xmlns:a16="http://schemas.microsoft.com/office/drawing/2014/main" id="{303EF3AA-C516-BA47-3513-CBEDE111A071}"/>
            </a:ext>
          </a:extLst>
        </xdr:cNvPr>
        <xdr:cNvSpPr>
          <a:spLocks noChangeShapeType="1"/>
        </xdr:cNvSpPr>
      </xdr:nvSpPr>
      <xdr:spPr bwMode="auto">
        <a:xfrm>
          <a:off x="12515850" y="3702050"/>
          <a:ext cx="0" cy="8509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24</xdr:col>
      <xdr:colOff>0</xdr:colOff>
      <xdr:row>18</xdr:row>
      <xdr:rowOff>311150</xdr:rowOff>
    </xdr:from>
    <xdr:to>
      <xdr:col>24</xdr:col>
      <xdr:colOff>0</xdr:colOff>
      <xdr:row>21</xdr:row>
      <xdr:rowOff>241300</xdr:rowOff>
    </xdr:to>
    <xdr:sp macro="" textlink="">
      <xdr:nvSpPr>
        <xdr:cNvPr id="80000" name="Line 4">
          <a:extLst>
            <a:ext uri="{FF2B5EF4-FFF2-40B4-BE49-F238E27FC236}">
              <a16:creationId xmlns:a16="http://schemas.microsoft.com/office/drawing/2014/main" id="{046599B3-C8BD-ECF8-8030-FCC7073787D4}"/>
            </a:ext>
          </a:extLst>
        </xdr:cNvPr>
        <xdr:cNvSpPr>
          <a:spLocks noChangeShapeType="1"/>
        </xdr:cNvSpPr>
      </xdr:nvSpPr>
      <xdr:spPr bwMode="auto">
        <a:xfrm>
          <a:off x="13023850" y="4000500"/>
          <a:ext cx="0" cy="9779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25</xdr:col>
      <xdr:colOff>0</xdr:colOff>
      <xdr:row>18</xdr:row>
      <xdr:rowOff>311150</xdr:rowOff>
    </xdr:from>
    <xdr:to>
      <xdr:col>25</xdr:col>
      <xdr:colOff>0</xdr:colOff>
      <xdr:row>20</xdr:row>
      <xdr:rowOff>266700</xdr:rowOff>
    </xdr:to>
    <xdr:sp macro="" textlink="">
      <xdr:nvSpPr>
        <xdr:cNvPr id="80001" name="Line 5">
          <a:extLst>
            <a:ext uri="{FF2B5EF4-FFF2-40B4-BE49-F238E27FC236}">
              <a16:creationId xmlns:a16="http://schemas.microsoft.com/office/drawing/2014/main" id="{37201BD3-212F-2865-B2C3-414AB97D9270}"/>
            </a:ext>
          </a:extLst>
        </xdr:cNvPr>
        <xdr:cNvSpPr>
          <a:spLocks noChangeShapeType="1"/>
        </xdr:cNvSpPr>
      </xdr:nvSpPr>
      <xdr:spPr bwMode="auto">
        <a:xfrm>
          <a:off x="13220700" y="4000500"/>
          <a:ext cx="0" cy="6540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13</xdr:row>
      <xdr:rowOff>158750</xdr:rowOff>
    </xdr:from>
    <xdr:to>
      <xdr:col>7</xdr:col>
      <xdr:colOff>0</xdr:colOff>
      <xdr:row>16</xdr:row>
      <xdr:rowOff>14331950</xdr:rowOff>
    </xdr:to>
    <xdr:sp macro="" textlink="">
      <xdr:nvSpPr>
        <xdr:cNvPr id="5787" name="Line 1">
          <a:extLst>
            <a:ext uri="{FF2B5EF4-FFF2-40B4-BE49-F238E27FC236}">
              <a16:creationId xmlns:a16="http://schemas.microsoft.com/office/drawing/2014/main" id="{00375773-5A4F-9D42-A0CE-3D41C4875574}"/>
            </a:ext>
          </a:extLst>
        </xdr:cNvPr>
        <xdr:cNvSpPr>
          <a:spLocks noChangeShapeType="1"/>
        </xdr:cNvSpPr>
      </xdr:nvSpPr>
      <xdr:spPr bwMode="auto">
        <a:xfrm flipV="1">
          <a:off x="2247900" y="2482850"/>
          <a:ext cx="3022600" cy="4953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641350</xdr:colOff>
      <xdr:row>11</xdr:row>
      <xdr:rowOff>6350</xdr:rowOff>
    </xdr:from>
    <xdr:to>
      <xdr:col>24</xdr:col>
      <xdr:colOff>12700</xdr:colOff>
      <xdr:row>13</xdr:row>
      <xdr:rowOff>273050</xdr:rowOff>
    </xdr:to>
    <xdr:sp macro="" textlink="">
      <xdr:nvSpPr>
        <xdr:cNvPr id="81696" name="Line 1">
          <a:extLst>
            <a:ext uri="{FF2B5EF4-FFF2-40B4-BE49-F238E27FC236}">
              <a16:creationId xmlns:a16="http://schemas.microsoft.com/office/drawing/2014/main" id="{234E75EB-48A6-A81A-4AA4-FEE34BFED299}"/>
            </a:ext>
          </a:extLst>
        </xdr:cNvPr>
        <xdr:cNvSpPr>
          <a:spLocks noChangeShapeType="1"/>
        </xdr:cNvSpPr>
      </xdr:nvSpPr>
      <xdr:spPr bwMode="auto">
        <a:xfrm flipV="1">
          <a:off x="7715250" y="1936750"/>
          <a:ext cx="1181100" cy="8509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47</xdr:col>
      <xdr:colOff>0</xdr:colOff>
      <xdr:row>22</xdr:row>
      <xdr:rowOff>0</xdr:rowOff>
    </xdr:from>
    <xdr:to>
      <xdr:col>47</xdr:col>
      <xdr:colOff>0</xdr:colOff>
      <xdr:row>22</xdr:row>
      <xdr:rowOff>50800</xdr:rowOff>
    </xdr:to>
    <xdr:sp macro="" textlink="">
      <xdr:nvSpPr>
        <xdr:cNvPr id="81697" name="Line 2">
          <a:extLst>
            <a:ext uri="{FF2B5EF4-FFF2-40B4-BE49-F238E27FC236}">
              <a16:creationId xmlns:a16="http://schemas.microsoft.com/office/drawing/2014/main" id="{EB65EF79-AFE9-705A-2C96-CF4D6E04537E}"/>
            </a:ext>
          </a:extLst>
        </xdr:cNvPr>
        <xdr:cNvSpPr>
          <a:spLocks noChangeShapeType="1"/>
        </xdr:cNvSpPr>
      </xdr:nvSpPr>
      <xdr:spPr bwMode="auto">
        <a:xfrm flipV="1">
          <a:off x="10248900" y="4184650"/>
          <a:ext cx="0" cy="508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12700</xdr:colOff>
      <xdr:row>11</xdr:row>
      <xdr:rowOff>0</xdr:rowOff>
    </xdr:from>
    <xdr:to>
      <xdr:col>12</xdr:col>
      <xdr:colOff>0</xdr:colOff>
      <xdr:row>13</xdr:row>
      <xdr:rowOff>254000</xdr:rowOff>
    </xdr:to>
    <xdr:sp macro="" textlink="">
      <xdr:nvSpPr>
        <xdr:cNvPr id="81698" name="Line 3">
          <a:extLst>
            <a:ext uri="{FF2B5EF4-FFF2-40B4-BE49-F238E27FC236}">
              <a16:creationId xmlns:a16="http://schemas.microsoft.com/office/drawing/2014/main" id="{84F830F6-1980-3060-14EF-333C8D736775}"/>
            </a:ext>
          </a:extLst>
        </xdr:cNvPr>
        <xdr:cNvSpPr>
          <a:spLocks noChangeShapeType="1"/>
        </xdr:cNvSpPr>
      </xdr:nvSpPr>
      <xdr:spPr bwMode="auto">
        <a:xfrm flipV="1">
          <a:off x="3092450" y="1930400"/>
          <a:ext cx="1257300" cy="8382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33</xdr:row>
      <xdr:rowOff>114300</xdr:rowOff>
    </xdr:from>
    <xdr:to>
      <xdr:col>21</xdr:col>
      <xdr:colOff>590550</xdr:colOff>
      <xdr:row>33</xdr:row>
      <xdr:rowOff>292100</xdr:rowOff>
    </xdr:to>
    <xdr:sp macro="" textlink="">
      <xdr:nvSpPr>
        <xdr:cNvPr id="81699" name="Line 4">
          <a:extLst>
            <a:ext uri="{FF2B5EF4-FFF2-40B4-BE49-F238E27FC236}">
              <a16:creationId xmlns:a16="http://schemas.microsoft.com/office/drawing/2014/main" id="{F37F6912-9D11-FB37-73C1-2B875E86B86A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22300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34</xdr:row>
      <xdr:rowOff>0</xdr:rowOff>
    </xdr:from>
    <xdr:to>
      <xdr:col>21</xdr:col>
      <xdr:colOff>590550</xdr:colOff>
      <xdr:row>34</xdr:row>
      <xdr:rowOff>0</xdr:rowOff>
    </xdr:to>
    <xdr:sp macro="" textlink="">
      <xdr:nvSpPr>
        <xdr:cNvPr id="81700" name="Line 5">
          <a:extLst>
            <a:ext uri="{FF2B5EF4-FFF2-40B4-BE49-F238E27FC236}">
              <a16:creationId xmlns:a16="http://schemas.microsoft.com/office/drawing/2014/main" id="{0ECE0CEE-B3C4-8E5E-4885-6EB26335042C}"/>
            </a:ext>
          </a:extLst>
        </xdr:cNvPr>
        <xdr:cNvSpPr>
          <a:spLocks noChangeShapeType="1"/>
        </xdr:cNvSpPr>
      </xdr:nvSpPr>
      <xdr:spPr bwMode="auto">
        <a:xfrm flipH="1">
          <a:off x="7632700" y="6267450"/>
          <a:ext cx="3175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23</xdr:row>
      <xdr:rowOff>0</xdr:rowOff>
    </xdr:from>
    <xdr:to>
      <xdr:col>21</xdr:col>
      <xdr:colOff>596900</xdr:colOff>
      <xdr:row>23</xdr:row>
      <xdr:rowOff>0</xdr:rowOff>
    </xdr:to>
    <xdr:sp macro="" textlink="">
      <xdr:nvSpPr>
        <xdr:cNvPr id="81701" name="Line 6">
          <a:extLst>
            <a:ext uri="{FF2B5EF4-FFF2-40B4-BE49-F238E27FC236}">
              <a16:creationId xmlns:a16="http://schemas.microsoft.com/office/drawing/2014/main" id="{34D4FFE2-8627-D1A0-1090-907175EC19DF}"/>
            </a:ext>
          </a:extLst>
        </xdr:cNvPr>
        <xdr:cNvSpPr>
          <a:spLocks noChangeShapeType="1"/>
        </xdr:cNvSpPr>
      </xdr:nvSpPr>
      <xdr:spPr bwMode="auto">
        <a:xfrm>
          <a:off x="7632700" y="4362450"/>
          <a:ext cx="38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27</xdr:col>
      <xdr:colOff>0</xdr:colOff>
      <xdr:row>12</xdr:row>
      <xdr:rowOff>400050</xdr:rowOff>
    </xdr:from>
    <xdr:to>
      <xdr:col>27</xdr:col>
      <xdr:colOff>0</xdr:colOff>
      <xdr:row>14</xdr:row>
      <xdr:rowOff>17856200</xdr:rowOff>
    </xdr:to>
    <xdr:sp macro="" textlink="">
      <xdr:nvSpPr>
        <xdr:cNvPr id="81702" name="Line 14">
          <a:extLst>
            <a:ext uri="{FF2B5EF4-FFF2-40B4-BE49-F238E27FC236}">
              <a16:creationId xmlns:a16="http://schemas.microsoft.com/office/drawing/2014/main" id="{C9A70409-945F-94A9-C816-B0D860B88912}"/>
            </a:ext>
          </a:extLst>
        </xdr:cNvPr>
        <xdr:cNvSpPr>
          <a:spLocks noChangeShapeType="1"/>
        </xdr:cNvSpPr>
      </xdr:nvSpPr>
      <xdr:spPr bwMode="auto">
        <a:xfrm>
          <a:off x="9512300" y="2508250"/>
          <a:ext cx="0" cy="4508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48</xdr:col>
      <xdr:colOff>0</xdr:colOff>
      <xdr:row>11</xdr:row>
      <xdr:rowOff>6350</xdr:rowOff>
    </xdr:from>
    <xdr:to>
      <xdr:col>50</xdr:col>
      <xdr:colOff>12700</xdr:colOff>
      <xdr:row>13</xdr:row>
      <xdr:rowOff>273050</xdr:rowOff>
    </xdr:to>
    <xdr:sp macro="" textlink="">
      <xdr:nvSpPr>
        <xdr:cNvPr id="81703" name="Line 15">
          <a:extLst>
            <a:ext uri="{FF2B5EF4-FFF2-40B4-BE49-F238E27FC236}">
              <a16:creationId xmlns:a16="http://schemas.microsoft.com/office/drawing/2014/main" id="{DE91DE05-B2D6-88FD-1D2A-69094F234723}"/>
            </a:ext>
          </a:extLst>
        </xdr:cNvPr>
        <xdr:cNvSpPr>
          <a:spLocks noChangeShapeType="1"/>
        </xdr:cNvSpPr>
      </xdr:nvSpPr>
      <xdr:spPr bwMode="auto">
        <a:xfrm flipV="1">
          <a:off x="10928350" y="1936750"/>
          <a:ext cx="1517650" cy="8509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36</xdr:row>
      <xdr:rowOff>114300</xdr:rowOff>
    </xdr:from>
    <xdr:to>
      <xdr:col>4</xdr:col>
      <xdr:colOff>0</xdr:colOff>
      <xdr:row>36</xdr:row>
      <xdr:rowOff>292100</xdr:rowOff>
    </xdr:to>
    <xdr:sp macro="" textlink="">
      <xdr:nvSpPr>
        <xdr:cNvPr id="81704" name="Line 16">
          <a:extLst>
            <a:ext uri="{FF2B5EF4-FFF2-40B4-BE49-F238E27FC236}">
              <a16:creationId xmlns:a16="http://schemas.microsoft.com/office/drawing/2014/main" id="{DEC87B91-DEA3-C745-E00F-EE1CFA554884}"/>
            </a:ext>
          </a:extLst>
        </xdr:cNvPr>
        <xdr:cNvSpPr>
          <a:spLocks noChangeShapeType="1"/>
        </xdr:cNvSpPr>
      </xdr:nvSpPr>
      <xdr:spPr bwMode="auto">
        <a:xfrm flipV="1">
          <a:off x="958850" y="6699250"/>
          <a:ext cx="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0</xdr:colOff>
      <xdr:row>24</xdr:row>
      <xdr:rowOff>152400</xdr:rowOff>
    </xdr:from>
    <xdr:to>
      <xdr:col>4</xdr:col>
      <xdr:colOff>0</xdr:colOff>
      <xdr:row>24</xdr:row>
      <xdr:rowOff>158750</xdr:rowOff>
    </xdr:to>
    <xdr:sp macro="" textlink="">
      <xdr:nvSpPr>
        <xdr:cNvPr id="81705" name="Line 17">
          <a:extLst>
            <a:ext uri="{FF2B5EF4-FFF2-40B4-BE49-F238E27FC236}">
              <a16:creationId xmlns:a16="http://schemas.microsoft.com/office/drawing/2014/main" id="{4AE5130D-C1AE-A7CA-88A1-2E58ACBEB0BC}"/>
            </a:ext>
          </a:extLst>
        </xdr:cNvPr>
        <xdr:cNvSpPr>
          <a:spLocks noChangeShapeType="1"/>
        </xdr:cNvSpPr>
      </xdr:nvSpPr>
      <xdr:spPr bwMode="auto">
        <a:xfrm flipV="1">
          <a:off x="958850" y="4692650"/>
          <a:ext cx="0" cy="63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12700</xdr:colOff>
      <xdr:row>29</xdr:row>
      <xdr:rowOff>114300</xdr:rowOff>
    </xdr:from>
    <xdr:to>
      <xdr:col>12</xdr:col>
      <xdr:colOff>0</xdr:colOff>
      <xdr:row>32</xdr:row>
      <xdr:rowOff>-2159000</xdr:rowOff>
    </xdr:to>
    <xdr:sp macro="" textlink="">
      <xdr:nvSpPr>
        <xdr:cNvPr id="81706" name="Line 18">
          <a:extLst>
            <a:ext uri="{FF2B5EF4-FFF2-40B4-BE49-F238E27FC236}">
              <a16:creationId xmlns:a16="http://schemas.microsoft.com/office/drawing/2014/main" id="{93A0C1B8-54AD-2FD9-F6D7-E9DFBC5DA206}"/>
            </a:ext>
          </a:extLst>
        </xdr:cNvPr>
        <xdr:cNvSpPr>
          <a:spLocks noChangeShapeType="1"/>
        </xdr:cNvSpPr>
      </xdr:nvSpPr>
      <xdr:spPr bwMode="auto">
        <a:xfrm flipV="1">
          <a:off x="3092450" y="5543550"/>
          <a:ext cx="12573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82550</xdr:colOff>
      <xdr:row>32</xdr:row>
      <xdr:rowOff>0</xdr:rowOff>
    </xdr:from>
    <xdr:to>
      <xdr:col>3</xdr:col>
      <xdr:colOff>82550</xdr:colOff>
      <xdr:row>41</xdr:row>
      <xdr:rowOff>0</xdr:rowOff>
    </xdr:to>
    <xdr:sp macro="" textlink="">
      <xdr:nvSpPr>
        <xdr:cNvPr id="81707" name="Line 19">
          <a:extLst>
            <a:ext uri="{FF2B5EF4-FFF2-40B4-BE49-F238E27FC236}">
              <a16:creationId xmlns:a16="http://schemas.microsoft.com/office/drawing/2014/main" id="{714EDA7D-2912-BAC2-C4EC-CCE9B0C2FD58}"/>
            </a:ext>
          </a:extLst>
        </xdr:cNvPr>
        <xdr:cNvSpPr>
          <a:spLocks noChangeShapeType="1"/>
        </xdr:cNvSpPr>
      </xdr:nvSpPr>
      <xdr:spPr bwMode="auto">
        <a:xfrm flipH="1">
          <a:off x="723900" y="5943600"/>
          <a:ext cx="0" cy="14351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107950</xdr:colOff>
      <xdr:row>32</xdr:row>
      <xdr:rowOff>0</xdr:rowOff>
    </xdr:from>
    <xdr:to>
      <xdr:col>4</xdr:col>
      <xdr:colOff>107950</xdr:colOff>
      <xdr:row>40</xdr:row>
      <xdr:rowOff>114300</xdr:rowOff>
    </xdr:to>
    <xdr:sp macro="" textlink="">
      <xdr:nvSpPr>
        <xdr:cNvPr id="81708" name="Line 20">
          <a:extLst>
            <a:ext uri="{FF2B5EF4-FFF2-40B4-BE49-F238E27FC236}">
              <a16:creationId xmlns:a16="http://schemas.microsoft.com/office/drawing/2014/main" id="{125B69DB-0907-B473-D738-03E88CDAF5D8}"/>
            </a:ext>
          </a:extLst>
        </xdr:cNvPr>
        <xdr:cNvSpPr>
          <a:spLocks noChangeShapeType="1"/>
        </xdr:cNvSpPr>
      </xdr:nvSpPr>
      <xdr:spPr bwMode="auto">
        <a:xfrm flipH="1">
          <a:off x="1066800" y="5943600"/>
          <a:ext cx="0" cy="13906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146050</xdr:colOff>
      <xdr:row>32</xdr:row>
      <xdr:rowOff>0</xdr:rowOff>
    </xdr:from>
    <xdr:to>
      <xdr:col>5</xdr:col>
      <xdr:colOff>146050</xdr:colOff>
      <xdr:row>40</xdr:row>
      <xdr:rowOff>114300</xdr:rowOff>
    </xdr:to>
    <xdr:sp macro="" textlink="">
      <xdr:nvSpPr>
        <xdr:cNvPr id="81709" name="Line 21">
          <a:extLst>
            <a:ext uri="{FF2B5EF4-FFF2-40B4-BE49-F238E27FC236}">
              <a16:creationId xmlns:a16="http://schemas.microsoft.com/office/drawing/2014/main" id="{F98D0F41-E900-7BB4-28F2-CB61E8A424F4}"/>
            </a:ext>
          </a:extLst>
        </xdr:cNvPr>
        <xdr:cNvSpPr>
          <a:spLocks noChangeShapeType="1"/>
        </xdr:cNvSpPr>
      </xdr:nvSpPr>
      <xdr:spPr bwMode="auto">
        <a:xfrm flipH="1">
          <a:off x="1422400" y="5943600"/>
          <a:ext cx="0" cy="13906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228600</xdr:colOff>
      <xdr:row>32</xdr:row>
      <xdr:rowOff>0</xdr:rowOff>
    </xdr:from>
    <xdr:to>
      <xdr:col>6</xdr:col>
      <xdr:colOff>228600</xdr:colOff>
      <xdr:row>41</xdr:row>
      <xdr:rowOff>0</xdr:rowOff>
    </xdr:to>
    <xdr:sp macro="" textlink="">
      <xdr:nvSpPr>
        <xdr:cNvPr id="81710" name="Line 22">
          <a:extLst>
            <a:ext uri="{FF2B5EF4-FFF2-40B4-BE49-F238E27FC236}">
              <a16:creationId xmlns:a16="http://schemas.microsoft.com/office/drawing/2014/main" id="{137F37EB-96C8-E5E6-13D6-50CE44FE9846}"/>
            </a:ext>
          </a:extLst>
        </xdr:cNvPr>
        <xdr:cNvSpPr>
          <a:spLocks noChangeShapeType="1"/>
        </xdr:cNvSpPr>
      </xdr:nvSpPr>
      <xdr:spPr bwMode="auto">
        <a:xfrm flipH="1">
          <a:off x="1822450" y="5943600"/>
          <a:ext cx="0" cy="14351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279400</xdr:colOff>
      <xdr:row>32</xdr:row>
      <xdr:rowOff>0</xdr:rowOff>
    </xdr:from>
    <xdr:to>
      <xdr:col>7</xdr:col>
      <xdr:colOff>279400</xdr:colOff>
      <xdr:row>41</xdr:row>
      <xdr:rowOff>0</xdr:rowOff>
    </xdr:to>
    <xdr:sp macro="" textlink="">
      <xdr:nvSpPr>
        <xdr:cNvPr id="81711" name="Line 23">
          <a:extLst>
            <a:ext uri="{FF2B5EF4-FFF2-40B4-BE49-F238E27FC236}">
              <a16:creationId xmlns:a16="http://schemas.microsoft.com/office/drawing/2014/main" id="{998B2951-12F6-ECA8-AE80-48CDFA21FB7F}"/>
            </a:ext>
          </a:extLst>
        </xdr:cNvPr>
        <xdr:cNvSpPr>
          <a:spLocks noChangeShapeType="1"/>
        </xdr:cNvSpPr>
      </xdr:nvSpPr>
      <xdr:spPr bwMode="auto">
        <a:xfrm flipH="1">
          <a:off x="2190750" y="5943600"/>
          <a:ext cx="0" cy="14351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40</xdr:row>
      <xdr:rowOff>-400050</xdr:rowOff>
    </xdr:from>
    <xdr:to>
      <xdr:col>21</xdr:col>
      <xdr:colOff>590550</xdr:colOff>
      <xdr:row>40</xdr:row>
      <xdr:rowOff>292100</xdr:rowOff>
    </xdr:to>
    <xdr:sp macro="" textlink="">
      <xdr:nvSpPr>
        <xdr:cNvPr id="81712" name="Line 24">
          <a:extLst>
            <a:ext uri="{FF2B5EF4-FFF2-40B4-BE49-F238E27FC236}">
              <a16:creationId xmlns:a16="http://schemas.microsoft.com/office/drawing/2014/main" id="{9E39471F-9C25-5765-4D17-0543F34DB917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819900"/>
          <a:ext cx="31750" cy="5588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41</xdr:row>
      <xdr:rowOff>0</xdr:rowOff>
    </xdr:from>
    <xdr:to>
      <xdr:col>21</xdr:col>
      <xdr:colOff>590550</xdr:colOff>
      <xdr:row>41</xdr:row>
      <xdr:rowOff>0</xdr:rowOff>
    </xdr:to>
    <xdr:sp macro="" textlink="">
      <xdr:nvSpPr>
        <xdr:cNvPr id="81713" name="Line 25">
          <a:extLst>
            <a:ext uri="{FF2B5EF4-FFF2-40B4-BE49-F238E27FC236}">
              <a16:creationId xmlns:a16="http://schemas.microsoft.com/office/drawing/2014/main" id="{AE48996E-832F-E8D2-8DC2-1ED33217D91B}"/>
            </a:ext>
          </a:extLst>
        </xdr:cNvPr>
        <xdr:cNvSpPr>
          <a:spLocks noChangeShapeType="1"/>
        </xdr:cNvSpPr>
      </xdr:nvSpPr>
      <xdr:spPr bwMode="auto">
        <a:xfrm flipH="1">
          <a:off x="7632700" y="7378700"/>
          <a:ext cx="3175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29</xdr:row>
      <xdr:rowOff>-400050</xdr:rowOff>
    </xdr:from>
    <xdr:to>
      <xdr:col>21</xdr:col>
      <xdr:colOff>596900</xdr:colOff>
      <xdr:row>29</xdr:row>
      <xdr:rowOff>292100</xdr:rowOff>
    </xdr:to>
    <xdr:sp macro="" textlink="">
      <xdr:nvSpPr>
        <xdr:cNvPr id="81714" name="Line 26">
          <a:extLst>
            <a:ext uri="{FF2B5EF4-FFF2-40B4-BE49-F238E27FC236}">
              <a16:creationId xmlns:a16="http://schemas.microsoft.com/office/drawing/2014/main" id="{38F8AAF1-8DC5-7A42-8659-113DF2D9ABC6}"/>
            </a:ext>
          </a:extLst>
        </xdr:cNvPr>
        <xdr:cNvSpPr>
          <a:spLocks noChangeShapeType="1"/>
        </xdr:cNvSpPr>
      </xdr:nvSpPr>
      <xdr:spPr bwMode="auto">
        <a:xfrm flipV="1">
          <a:off x="7632700" y="5029200"/>
          <a:ext cx="38100" cy="5588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34</xdr:row>
      <xdr:rowOff>114300</xdr:rowOff>
    </xdr:from>
    <xdr:to>
      <xdr:col>21</xdr:col>
      <xdr:colOff>590550</xdr:colOff>
      <xdr:row>34</xdr:row>
      <xdr:rowOff>292100</xdr:rowOff>
    </xdr:to>
    <xdr:sp macro="" textlink="">
      <xdr:nvSpPr>
        <xdr:cNvPr id="81715" name="Line 27">
          <a:extLst>
            <a:ext uri="{FF2B5EF4-FFF2-40B4-BE49-F238E27FC236}">
              <a16:creationId xmlns:a16="http://schemas.microsoft.com/office/drawing/2014/main" id="{01138B81-E05F-3776-0B96-309FE6F767E7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38175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35</xdr:row>
      <xdr:rowOff>114300</xdr:rowOff>
    </xdr:from>
    <xdr:to>
      <xdr:col>21</xdr:col>
      <xdr:colOff>590550</xdr:colOff>
      <xdr:row>35</xdr:row>
      <xdr:rowOff>292100</xdr:rowOff>
    </xdr:to>
    <xdr:sp macro="" textlink="">
      <xdr:nvSpPr>
        <xdr:cNvPr id="81716" name="Line 28">
          <a:extLst>
            <a:ext uri="{FF2B5EF4-FFF2-40B4-BE49-F238E27FC236}">
              <a16:creationId xmlns:a16="http://schemas.microsoft.com/office/drawing/2014/main" id="{FE0EE13A-0916-845B-77D5-B486CEE5EE3E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54050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36</xdr:row>
      <xdr:rowOff>114300</xdr:rowOff>
    </xdr:from>
    <xdr:to>
      <xdr:col>21</xdr:col>
      <xdr:colOff>590550</xdr:colOff>
      <xdr:row>36</xdr:row>
      <xdr:rowOff>292100</xdr:rowOff>
    </xdr:to>
    <xdr:sp macro="" textlink="">
      <xdr:nvSpPr>
        <xdr:cNvPr id="81717" name="Line 29">
          <a:extLst>
            <a:ext uri="{FF2B5EF4-FFF2-40B4-BE49-F238E27FC236}">
              <a16:creationId xmlns:a16="http://schemas.microsoft.com/office/drawing/2014/main" id="{0F62D73E-5AA5-BE77-FFD9-45874D30E9AA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69925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35</xdr:row>
      <xdr:rowOff>114300</xdr:rowOff>
    </xdr:from>
    <xdr:to>
      <xdr:col>21</xdr:col>
      <xdr:colOff>590550</xdr:colOff>
      <xdr:row>35</xdr:row>
      <xdr:rowOff>292100</xdr:rowOff>
    </xdr:to>
    <xdr:sp macro="" textlink="">
      <xdr:nvSpPr>
        <xdr:cNvPr id="81718" name="Line 30">
          <a:extLst>
            <a:ext uri="{FF2B5EF4-FFF2-40B4-BE49-F238E27FC236}">
              <a16:creationId xmlns:a16="http://schemas.microsoft.com/office/drawing/2014/main" id="{64CD20D2-14BB-547C-E6D4-E1E208F8E32F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54050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36</xdr:row>
      <xdr:rowOff>114300</xdr:rowOff>
    </xdr:from>
    <xdr:to>
      <xdr:col>21</xdr:col>
      <xdr:colOff>590550</xdr:colOff>
      <xdr:row>36</xdr:row>
      <xdr:rowOff>292100</xdr:rowOff>
    </xdr:to>
    <xdr:sp macro="" textlink="">
      <xdr:nvSpPr>
        <xdr:cNvPr id="81719" name="Line 31">
          <a:extLst>
            <a:ext uri="{FF2B5EF4-FFF2-40B4-BE49-F238E27FC236}">
              <a16:creationId xmlns:a16="http://schemas.microsoft.com/office/drawing/2014/main" id="{FA6C0CA9-1D55-D791-FB70-3F7235026DF2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69925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36</xdr:row>
      <xdr:rowOff>114300</xdr:rowOff>
    </xdr:from>
    <xdr:to>
      <xdr:col>21</xdr:col>
      <xdr:colOff>590550</xdr:colOff>
      <xdr:row>36</xdr:row>
      <xdr:rowOff>292100</xdr:rowOff>
    </xdr:to>
    <xdr:sp macro="" textlink="">
      <xdr:nvSpPr>
        <xdr:cNvPr id="81720" name="Line 32">
          <a:extLst>
            <a:ext uri="{FF2B5EF4-FFF2-40B4-BE49-F238E27FC236}">
              <a16:creationId xmlns:a16="http://schemas.microsoft.com/office/drawing/2014/main" id="{ED6EE31E-5864-CE91-26E5-1BBC73680F19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69925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37</xdr:row>
      <xdr:rowOff>114300</xdr:rowOff>
    </xdr:from>
    <xdr:to>
      <xdr:col>21</xdr:col>
      <xdr:colOff>590550</xdr:colOff>
      <xdr:row>37</xdr:row>
      <xdr:rowOff>292100</xdr:rowOff>
    </xdr:to>
    <xdr:sp macro="" textlink="">
      <xdr:nvSpPr>
        <xdr:cNvPr id="81721" name="Line 33">
          <a:extLst>
            <a:ext uri="{FF2B5EF4-FFF2-40B4-BE49-F238E27FC236}">
              <a16:creationId xmlns:a16="http://schemas.microsoft.com/office/drawing/2014/main" id="{29320DD2-8AC3-F646-6886-91E7377AFAD2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85800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37</xdr:row>
      <xdr:rowOff>114300</xdr:rowOff>
    </xdr:from>
    <xdr:to>
      <xdr:col>21</xdr:col>
      <xdr:colOff>590550</xdr:colOff>
      <xdr:row>37</xdr:row>
      <xdr:rowOff>292100</xdr:rowOff>
    </xdr:to>
    <xdr:sp macro="" textlink="">
      <xdr:nvSpPr>
        <xdr:cNvPr id="81722" name="Line 34">
          <a:extLst>
            <a:ext uri="{FF2B5EF4-FFF2-40B4-BE49-F238E27FC236}">
              <a16:creationId xmlns:a16="http://schemas.microsoft.com/office/drawing/2014/main" id="{47942590-1EAA-4C3B-B9DB-785B382736B2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85800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37</xdr:row>
      <xdr:rowOff>114300</xdr:rowOff>
    </xdr:from>
    <xdr:to>
      <xdr:col>21</xdr:col>
      <xdr:colOff>590550</xdr:colOff>
      <xdr:row>37</xdr:row>
      <xdr:rowOff>292100</xdr:rowOff>
    </xdr:to>
    <xdr:sp macro="" textlink="">
      <xdr:nvSpPr>
        <xdr:cNvPr id="81723" name="Line 35">
          <a:extLst>
            <a:ext uri="{FF2B5EF4-FFF2-40B4-BE49-F238E27FC236}">
              <a16:creationId xmlns:a16="http://schemas.microsoft.com/office/drawing/2014/main" id="{89134DAF-196C-A800-E0CE-F6C4A6609976}"/>
            </a:ext>
          </a:extLst>
        </xdr:cNvPr>
        <xdr:cNvSpPr>
          <a:spLocks noChangeShapeType="1"/>
        </xdr:cNvSpPr>
      </xdr:nvSpPr>
      <xdr:spPr bwMode="auto">
        <a:xfrm flipH="1" flipV="1">
          <a:off x="7632700" y="685800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38</xdr:row>
      <xdr:rowOff>114300</xdr:rowOff>
    </xdr:from>
    <xdr:to>
      <xdr:col>21</xdr:col>
      <xdr:colOff>590550</xdr:colOff>
      <xdr:row>38</xdr:row>
      <xdr:rowOff>292100</xdr:rowOff>
    </xdr:to>
    <xdr:sp macro="" textlink="">
      <xdr:nvSpPr>
        <xdr:cNvPr id="81724" name="Line 36">
          <a:extLst>
            <a:ext uri="{FF2B5EF4-FFF2-40B4-BE49-F238E27FC236}">
              <a16:creationId xmlns:a16="http://schemas.microsoft.com/office/drawing/2014/main" id="{5FCE7C4B-AF52-D13B-D1EB-B0757D257EC4}"/>
            </a:ext>
          </a:extLst>
        </xdr:cNvPr>
        <xdr:cNvSpPr>
          <a:spLocks noChangeShapeType="1"/>
        </xdr:cNvSpPr>
      </xdr:nvSpPr>
      <xdr:spPr bwMode="auto">
        <a:xfrm flipH="1" flipV="1">
          <a:off x="7632700" y="701675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38</xdr:row>
      <xdr:rowOff>114300</xdr:rowOff>
    </xdr:from>
    <xdr:to>
      <xdr:col>21</xdr:col>
      <xdr:colOff>590550</xdr:colOff>
      <xdr:row>38</xdr:row>
      <xdr:rowOff>292100</xdr:rowOff>
    </xdr:to>
    <xdr:sp macro="" textlink="">
      <xdr:nvSpPr>
        <xdr:cNvPr id="81725" name="Line 37">
          <a:extLst>
            <a:ext uri="{FF2B5EF4-FFF2-40B4-BE49-F238E27FC236}">
              <a16:creationId xmlns:a16="http://schemas.microsoft.com/office/drawing/2014/main" id="{C2CA4472-38D9-D49F-EEFD-FC5C1E3D81DF}"/>
            </a:ext>
          </a:extLst>
        </xdr:cNvPr>
        <xdr:cNvSpPr>
          <a:spLocks noChangeShapeType="1"/>
        </xdr:cNvSpPr>
      </xdr:nvSpPr>
      <xdr:spPr bwMode="auto">
        <a:xfrm flipH="1" flipV="1">
          <a:off x="7632700" y="701675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38</xdr:row>
      <xdr:rowOff>114300</xdr:rowOff>
    </xdr:from>
    <xdr:to>
      <xdr:col>21</xdr:col>
      <xdr:colOff>590550</xdr:colOff>
      <xdr:row>38</xdr:row>
      <xdr:rowOff>292100</xdr:rowOff>
    </xdr:to>
    <xdr:sp macro="" textlink="">
      <xdr:nvSpPr>
        <xdr:cNvPr id="81726" name="Line 38">
          <a:extLst>
            <a:ext uri="{FF2B5EF4-FFF2-40B4-BE49-F238E27FC236}">
              <a16:creationId xmlns:a16="http://schemas.microsoft.com/office/drawing/2014/main" id="{469CEB4F-C617-1F5C-50AF-522BAE160289}"/>
            </a:ext>
          </a:extLst>
        </xdr:cNvPr>
        <xdr:cNvSpPr>
          <a:spLocks noChangeShapeType="1"/>
        </xdr:cNvSpPr>
      </xdr:nvSpPr>
      <xdr:spPr bwMode="auto">
        <a:xfrm flipH="1" flipV="1">
          <a:off x="7632700" y="701675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558800</xdr:colOff>
      <xdr:row>39</xdr:row>
      <xdr:rowOff>114300</xdr:rowOff>
    </xdr:from>
    <xdr:to>
      <xdr:col>21</xdr:col>
      <xdr:colOff>590550</xdr:colOff>
      <xdr:row>39</xdr:row>
      <xdr:rowOff>292100</xdr:rowOff>
    </xdr:to>
    <xdr:sp macro="" textlink="">
      <xdr:nvSpPr>
        <xdr:cNvPr id="81727" name="Line 39">
          <a:extLst>
            <a:ext uri="{FF2B5EF4-FFF2-40B4-BE49-F238E27FC236}">
              <a16:creationId xmlns:a16="http://schemas.microsoft.com/office/drawing/2014/main" id="{4212B1B6-EBD8-6645-114A-F9DCFB3C9407}"/>
            </a:ext>
          </a:extLst>
        </xdr:cNvPr>
        <xdr:cNvSpPr>
          <a:spLocks noChangeShapeType="1"/>
        </xdr:cNvSpPr>
      </xdr:nvSpPr>
      <xdr:spPr bwMode="auto">
        <a:xfrm flipH="1" flipV="1">
          <a:off x="7632700" y="7175500"/>
          <a:ext cx="31750" cy="4445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203200</xdr:colOff>
      <xdr:row>7</xdr:row>
      <xdr:rowOff>50800</xdr:rowOff>
    </xdr:to>
    <xdr:pic>
      <xdr:nvPicPr>
        <xdr:cNvPr id="8605" name="Imagen 8">
          <a:extLst>
            <a:ext uri="{FF2B5EF4-FFF2-40B4-BE49-F238E27FC236}">
              <a16:creationId xmlns:a16="http://schemas.microsoft.com/office/drawing/2014/main" id="{A94FCF98-3E19-E428-649A-2D35C2FD7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0100" cy="1606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0</xdr:rowOff>
    </xdr:from>
    <xdr:to>
      <xdr:col>4</xdr:col>
      <xdr:colOff>228600</xdr:colOff>
      <xdr:row>5</xdr:row>
      <xdr:rowOff>171450</xdr:rowOff>
    </xdr:to>
    <xdr:pic>
      <xdr:nvPicPr>
        <xdr:cNvPr id="10656" name="Imagen 10">
          <a:extLst>
            <a:ext uri="{FF2B5EF4-FFF2-40B4-BE49-F238E27FC236}">
              <a16:creationId xmlns:a16="http://schemas.microsoft.com/office/drawing/2014/main" id="{1DCB8A03-49C2-ED5F-8822-B37DD2D73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" y="0"/>
          <a:ext cx="1676400" cy="1079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88900</xdr:colOff>
      <xdr:row>2</xdr:row>
      <xdr:rowOff>0</xdr:rowOff>
    </xdr:from>
    <xdr:to>
      <xdr:col>5</xdr:col>
      <xdr:colOff>876300</xdr:colOff>
      <xdr:row>7</xdr:row>
      <xdr:rowOff>139700</xdr:rowOff>
    </xdr:to>
    <xdr:pic>
      <xdr:nvPicPr>
        <xdr:cNvPr id="11680" name="Imagen 11">
          <a:extLst>
            <a:ext uri="{FF2B5EF4-FFF2-40B4-BE49-F238E27FC236}">
              <a16:creationId xmlns:a16="http://schemas.microsoft.com/office/drawing/2014/main" id="{BE9834F6-D717-3E71-01BB-C3273AB77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800" y="76200"/>
          <a:ext cx="1898650" cy="1136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38100</xdr:rowOff>
    </xdr:from>
    <xdr:to>
      <xdr:col>2</xdr:col>
      <xdr:colOff>1441450</xdr:colOff>
      <xdr:row>9</xdr:row>
      <xdr:rowOff>133350</xdr:rowOff>
    </xdr:to>
    <xdr:pic>
      <xdr:nvPicPr>
        <xdr:cNvPr id="12705" name="Imagen 12">
          <a:extLst>
            <a:ext uri="{FF2B5EF4-FFF2-40B4-BE49-F238E27FC236}">
              <a16:creationId xmlns:a16="http://schemas.microsoft.com/office/drawing/2014/main" id="{39EA81BB-8231-8A60-5D5A-071531621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38100"/>
          <a:ext cx="1403350" cy="1504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146050</xdr:colOff>
      <xdr:row>0</xdr:row>
      <xdr:rowOff>0</xdr:rowOff>
    </xdr:from>
    <xdr:to>
      <xdr:col>1</xdr:col>
      <xdr:colOff>393700</xdr:colOff>
      <xdr:row>1</xdr:row>
      <xdr:rowOff>152400</xdr:rowOff>
    </xdr:to>
    <xdr:pic>
      <xdr:nvPicPr>
        <xdr:cNvPr id="83975" name="Picture 2">
          <a:extLst>
            <a:ext uri="{FF2B5EF4-FFF2-40B4-BE49-F238E27FC236}">
              <a16:creationId xmlns:a16="http://schemas.microsoft.com/office/drawing/2014/main" id="{A14BBFDF-4052-12BD-6CDB-F9C523744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50" y="0"/>
          <a:ext cx="558800" cy="50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</xdr:row>
      <xdr:rowOff>188595</xdr:rowOff>
    </xdr:from>
    <xdr:to>
      <xdr:col>14</xdr:col>
      <xdr:colOff>502908</xdr:colOff>
      <xdr:row>3</xdr:row>
      <xdr:rowOff>152585</xdr:rowOff>
    </xdr:to>
    <xdr:sp macro="" textlink="" fLocksText="0">
      <xdr:nvSpPr>
        <xdr:cNvPr id="16385" name="Text Box 1">
          <a:extLst>
            <a:ext uri="{FF2B5EF4-FFF2-40B4-BE49-F238E27FC236}">
              <a16:creationId xmlns:a16="http://schemas.microsoft.com/office/drawing/2014/main" id="{3EECF25A-7DEC-A6D6-530C-85672677BF1A}"/>
            </a:ext>
          </a:extLst>
        </xdr:cNvPr>
        <xdr:cNvSpPr txBox="1">
          <a:spLocks noChangeArrowheads="1"/>
        </xdr:cNvSpPr>
      </xdr:nvSpPr>
      <xdr:spPr bwMode="auto">
        <a:xfrm>
          <a:off x="2257425" y="523875"/>
          <a:ext cx="7591425" cy="466725"/>
        </a:xfrm>
        <a:prstGeom prst="rect">
          <a:avLst/>
        </a:prstGeom>
        <a:solidFill>
          <a:srgbClr val="C0C0C0"/>
        </a:solidFill>
        <a:ln w="9360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0160" tIns="20160" rIns="20160" bIns="20160" anchor="t"/>
        <a:lstStyle/>
        <a:p>
          <a:pPr algn="ctr" rtl="0">
            <a:defRPr sz="1000"/>
          </a:pPr>
          <a:r>
            <a:rPr lang="es-CO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RENDICIÓN DE CUENTAS</a:t>
          </a:r>
        </a:p>
        <a:p>
          <a:pPr algn="ctr" rtl="0">
            <a:defRPr sz="1000"/>
          </a:pPr>
          <a:r>
            <a:rPr lang="es-CO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INFORMACIÓN FINANCIERA  -  EJECUCIÓN PRESUPUESTAL DE GASTOS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266700</xdr:colOff>
      <xdr:row>4</xdr:row>
      <xdr:rowOff>190500</xdr:rowOff>
    </xdr:to>
    <xdr:pic>
      <xdr:nvPicPr>
        <xdr:cNvPr id="17232" name="Imagen 19">
          <a:extLst>
            <a:ext uri="{FF2B5EF4-FFF2-40B4-BE49-F238E27FC236}">
              <a16:creationId xmlns:a16="http://schemas.microsoft.com/office/drawing/2014/main" id="{102C0F5B-F9DD-7A6F-B8C8-6182C50A0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66800" cy="952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grayscl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0</xdr:colOff>
      <xdr:row>2</xdr:row>
      <xdr:rowOff>107950</xdr:rowOff>
    </xdr:to>
    <xdr:sp macro="" textlink="">
      <xdr:nvSpPr>
        <xdr:cNvPr id="83019" name="Text Box 1">
          <a:extLst>
            <a:ext uri="{FF2B5EF4-FFF2-40B4-BE49-F238E27FC236}">
              <a16:creationId xmlns:a16="http://schemas.microsoft.com/office/drawing/2014/main" id="{BA4CCD61-0591-64CC-39BE-2636325D323B}"/>
            </a:ext>
          </a:extLst>
        </xdr:cNvPr>
        <xdr:cNvSpPr txBox="1">
          <a:spLocks noChangeArrowheads="1"/>
        </xdr:cNvSpPr>
      </xdr:nvSpPr>
      <xdr:spPr bwMode="auto">
        <a:xfrm>
          <a:off x="0" y="158750"/>
          <a:ext cx="0" cy="463550"/>
        </a:xfrm>
        <a:prstGeom prst="rect">
          <a:avLst/>
        </a:prstGeom>
        <a:solidFill>
          <a:srgbClr val="C0C0C0"/>
        </a:solidFill>
        <a:ln w="9360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422910</xdr:colOff>
      <xdr:row>0</xdr:row>
      <xdr:rowOff>158115</xdr:rowOff>
    </xdr:from>
    <xdr:to>
      <xdr:col>7</xdr:col>
      <xdr:colOff>614026</xdr:colOff>
      <xdr:row>3</xdr:row>
      <xdr:rowOff>366</xdr:rowOff>
    </xdr:to>
    <xdr:sp macro="" textlink="" fLocksText="0">
      <xdr:nvSpPr>
        <xdr:cNvPr id="17410" name="Text Box 2">
          <a:extLst>
            <a:ext uri="{FF2B5EF4-FFF2-40B4-BE49-F238E27FC236}">
              <a16:creationId xmlns:a16="http://schemas.microsoft.com/office/drawing/2014/main" id="{EB449CBB-7820-3795-A590-C3DF28BA8B47}"/>
            </a:ext>
          </a:extLst>
        </xdr:cNvPr>
        <xdr:cNvSpPr txBox="1">
          <a:spLocks noChangeArrowheads="1"/>
        </xdr:cNvSpPr>
      </xdr:nvSpPr>
      <xdr:spPr bwMode="auto">
        <a:xfrm>
          <a:off x="3724275" y="104775"/>
          <a:ext cx="6162675" cy="638175"/>
        </a:xfrm>
        <a:prstGeom prst="rect">
          <a:avLst/>
        </a:prstGeom>
        <a:solidFill>
          <a:srgbClr val="C0C0C0"/>
        </a:solidFill>
        <a:ln w="9360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0160" tIns="20160" rIns="20160" bIns="20160" anchor="t"/>
        <a:lstStyle/>
        <a:p>
          <a:pPr algn="ctr" rtl="0">
            <a:defRPr sz="1000"/>
          </a:pPr>
          <a:r>
            <a:rPr lang="es-CO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RENDICIÓN DE CUENTAS</a:t>
          </a:r>
        </a:p>
        <a:p>
          <a:pPr algn="ctr" rtl="0">
            <a:defRPr sz="1000"/>
          </a:pPr>
          <a:r>
            <a:rPr lang="es-CO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INFORMACIÓN FINANCIERA  -  EJECUCIÓN PRESUPUESTAL </a:t>
          </a:r>
        </a:p>
        <a:p>
          <a:pPr algn="ctr" rtl="0">
            <a:defRPr sz="1000"/>
          </a:pPr>
          <a:r>
            <a:rPr lang="es-CO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DE INGRESOS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82550</xdr:colOff>
      <xdr:row>5</xdr:row>
      <xdr:rowOff>-3854450</xdr:rowOff>
    </xdr:to>
    <xdr:pic>
      <xdr:nvPicPr>
        <xdr:cNvPr id="83021" name="Imagen 20">
          <a:extLst>
            <a:ext uri="{FF2B5EF4-FFF2-40B4-BE49-F238E27FC236}">
              <a16:creationId xmlns:a16="http://schemas.microsoft.com/office/drawing/2014/main" id="{7E26B611-BEE1-11F5-87F0-C33C6F8FCD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3520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grayscl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18F76-27C7-4896-B803-21BDD47DC330}">
  <sheetPr>
    <tabColor rgb="FF92D050"/>
  </sheetPr>
  <dimension ref="A1:T38"/>
  <sheetViews>
    <sheetView zoomScale="75" zoomScaleNormal="75" workbookViewId="0">
      <selection activeCell="P1" sqref="P1"/>
    </sheetView>
  </sheetViews>
  <sheetFormatPr baseColWidth="10" defaultColWidth="9.1796875" defaultRowHeight="12.5"/>
  <cols>
    <col min="1" max="1" width="14.81640625" customWidth="1"/>
    <col min="2" max="2" width="12.7265625" customWidth="1"/>
    <col min="3" max="3" width="19.7265625" customWidth="1"/>
    <col min="4" max="4" width="4.7265625" customWidth="1"/>
    <col min="5" max="5" width="3.7265625" customWidth="1"/>
    <col min="6" max="6" width="7.1796875" customWidth="1"/>
    <col min="7" max="7" width="9.26953125" customWidth="1"/>
    <col min="8" max="8" width="3.1796875" customWidth="1"/>
    <col min="9" max="9" width="3.26953125" customWidth="1"/>
    <col min="10" max="10" width="3.453125" customWidth="1"/>
    <col min="11" max="11" width="3" customWidth="1"/>
    <col min="12" max="12" width="6.26953125" customWidth="1"/>
    <col min="13" max="13" width="14.54296875" customWidth="1"/>
    <col min="14" max="14" width="12.26953125" customWidth="1"/>
    <col min="15" max="15" width="6.453125" customWidth="1"/>
    <col min="16" max="16" width="7.26953125" customWidth="1"/>
    <col min="17" max="17" width="8.453125" customWidth="1"/>
    <col min="18" max="19" width="12.54296875" customWidth="1"/>
  </cols>
  <sheetData>
    <row r="1" spans="1:20" ht="21" customHeight="1">
      <c r="A1" s="1"/>
      <c r="B1" s="1"/>
      <c r="C1" s="1"/>
      <c r="D1" s="1"/>
      <c r="E1" s="2"/>
      <c r="F1" s="1066" t="s">
        <v>0</v>
      </c>
      <c r="G1" s="1067"/>
      <c r="H1" s="1067"/>
      <c r="I1" s="1067"/>
      <c r="J1" s="1067"/>
      <c r="K1" s="1067"/>
      <c r="L1" s="1067"/>
      <c r="M1" s="1067"/>
      <c r="N1" s="1068"/>
      <c r="O1" s="1"/>
      <c r="P1" s="1"/>
      <c r="Q1" s="1"/>
      <c r="R1" s="1"/>
      <c r="S1" s="1"/>
    </row>
    <row r="2" spans="1:20" ht="15.5">
      <c r="A2" s="1"/>
      <c r="B2" s="1"/>
      <c r="C2" s="1"/>
      <c r="D2" s="1"/>
      <c r="E2" s="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20" ht="15.5">
      <c r="A3" s="1"/>
      <c r="B3" s="1"/>
      <c r="C3" s="1"/>
      <c r="D3" s="1"/>
      <c r="E3" s="2"/>
      <c r="F3" s="1069" t="s">
        <v>1</v>
      </c>
      <c r="G3" s="1070"/>
      <c r="H3" s="1070"/>
      <c r="I3" s="1070"/>
      <c r="J3" s="1070"/>
      <c r="K3" s="1070"/>
      <c r="L3" s="1070"/>
      <c r="M3" s="1070"/>
      <c r="N3" s="1071"/>
      <c r="O3" s="1"/>
      <c r="P3" s="1"/>
      <c r="Q3" s="1"/>
      <c r="R3" s="1"/>
      <c r="S3" s="1"/>
    </row>
    <row r="4" spans="1:20" ht="15.75" customHeight="1">
      <c r="E4" s="3"/>
      <c r="F4" s="1072" t="s">
        <v>2</v>
      </c>
      <c r="G4" s="1073"/>
      <c r="H4" s="1073"/>
      <c r="I4" s="1073"/>
      <c r="J4" s="1073"/>
      <c r="K4" s="1073"/>
      <c r="L4" s="1073"/>
      <c r="M4" s="1073"/>
      <c r="N4" s="1074"/>
    </row>
    <row r="5" spans="1:20" ht="15.5">
      <c r="A5" s="4"/>
      <c r="B5" s="4"/>
      <c r="C5" s="4"/>
      <c r="D5" s="4"/>
      <c r="E5" s="5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6"/>
      <c r="S5" s="4"/>
    </row>
    <row r="6" spans="1:20" ht="16" thickBot="1">
      <c r="A6" s="4"/>
      <c r="B6" s="4"/>
      <c r="C6" s="4"/>
      <c r="D6" s="4"/>
      <c r="E6" s="5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7"/>
      <c r="S6" s="4"/>
    </row>
    <row r="7" spans="1:20" ht="12.75" customHeight="1" thickBot="1">
      <c r="A7" s="8" t="s">
        <v>3</v>
      </c>
      <c r="B7" s="9"/>
      <c r="C7" s="9"/>
      <c r="D7" s="9"/>
      <c r="E7" s="9"/>
      <c r="F7" s="11"/>
      <c r="G7" s="9" t="s">
        <v>4</v>
      </c>
      <c r="H7" s="9"/>
      <c r="I7" s="12" t="s">
        <v>576</v>
      </c>
      <c r="J7" s="12"/>
      <c r="K7" s="12"/>
      <c r="L7" s="12"/>
      <c r="M7" s="12"/>
      <c r="N7" s="12"/>
      <c r="O7" s="12"/>
      <c r="P7" s="13"/>
      <c r="Q7" s="14" t="s">
        <v>537</v>
      </c>
      <c r="R7" s="15"/>
      <c r="S7" s="16"/>
    </row>
    <row r="8" spans="1:20" s="7" customFormat="1" ht="12.75" customHeight="1" thickBot="1">
      <c r="A8" s="17" t="s">
        <v>574</v>
      </c>
      <c r="B8" s="18"/>
      <c r="C8" s="18"/>
      <c r="D8" s="18"/>
      <c r="E8" s="18"/>
      <c r="F8" s="19"/>
      <c r="G8" s="15" t="s">
        <v>5</v>
      </c>
      <c r="H8" s="15"/>
      <c r="I8" s="15"/>
      <c r="J8" s="15"/>
      <c r="K8" s="20"/>
      <c r="L8" s="20"/>
      <c r="M8" s="20">
        <v>2025</v>
      </c>
      <c r="N8" s="20"/>
      <c r="O8" s="20"/>
      <c r="P8" s="20"/>
      <c r="Q8" s="21"/>
      <c r="R8" s="21"/>
      <c r="S8" s="22"/>
    </row>
    <row r="9" spans="1:20" s="7" customFormat="1" ht="13.5" customHeight="1">
      <c r="A9" s="17" t="s">
        <v>575</v>
      </c>
      <c r="B9" s="18"/>
      <c r="C9" s="18"/>
      <c r="D9" s="18"/>
      <c r="E9" s="18"/>
      <c r="F9" s="18"/>
      <c r="G9" s="23" t="s">
        <v>490</v>
      </c>
      <c r="H9" s="15"/>
      <c r="I9" s="15"/>
      <c r="J9" s="15"/>
      <c r="K9" s="20"/>
      <c r="L9" s="20"/>
      <c r="M9" s="20"/>
      <c r="N9" s="15" t="s">
        <v>491</v>
      </c>
      <c r="O9" s="20"/>
      <c r="P9" s="20"/>
      <c r="Q9" s="20"/>
      <c r="R9" s="20"/>
      <c r="S9" s="24"/>
    </row>
    <row r="10" spans="1:20" s="7" customFormat="1" ht="11.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0" ht="13.5" customHeight="1">
      <c r="A11" s="1061" t="s">
        <v>7</v>
      </c>
      <c r="B11" s="1061" t="s">
        <v>8</v>
      </c>
      <c r="C11" s="1061" t="s">
        <v>9</v>
      </c>
      <c r="D11" s="1062" t="s">
        <v>10</v>
      </c>
      <c r="E11" s="1062"/>
      <c r="F11" s="1062"/>
      <c r="G11" s="1063" t="s">
        <v>11</v>
      </c>
      <c r="H11" s="1065" t="s">
        <v>12</v>
      </c>
      <c r="I11" s="1061"/>
      <c r="J11" s="1061"/>
      <c r="K11" s="1061"/>
      <c r="L11" s="1061"/>
      <c r="M11" s="1061" t="s">
        <v>13</v>
      </c>
      <c r="N11" s="1061" t="s">
        <v>14</v>
      </c>
      <c r="O11" s="1061" t="s">
        <v>15</v>
      </c>
      <c r="P11" s="1061"/>
      <c r="Q11" s="1061" t="s">
        <v>16</v>
      </c>
      <c r="R11" s="1061" t="s">
        <v>17</v>
      </c>
      <c r="S11" s="1061" t="s">
        <v>18</v>
      </c>
      <c r="T11" s="825"/>
    </row>
    <row r="12" spans="1:20">
      <c r="A12" s="1061"/>
      <c r="B12" s="1061"/>
      <c r="C12" s="1061"/>
      <c r="D12" s="1062"/>
      <c r="E12" s="1062"/>
      <c r="F12" s="1062"/>
      <c r="G12" s="1064"/>
      <c r="H12" s="1065"/>
      <c r="I12" s="1061"/>
      <c r="J12" s="1061"/>
      <c r="K12" s="1061"/>
      <c r="L12" s="1061"/>
      <c r="M12" s="1061"/>
      <c r="N12" s="1061"/>
      <c r="O12" s="1061"/>
      <c r="P12" s="1061"/>
      <c r="Q12" s="1061"/>
      <c r="R12" s="1061"/>
      <c r="S12" s="1061"/>
      <c r="T12" s="825"/>
    </row>
    <row r="13" spans="1:20" ht="38.25" customHeight="1">
      <c r="A13" s="1061"/>
      <c r="B13" s="1061"/>
      <c r="C13" s="1061"/>
      <c r="D13" s="26" t="s">
        <v>19</v>
      </c>
      <c r="E13" s="27" t="s">
        <v>20</v>
      </c>
      <c r="F13" s="28" t="s">
        <v>21</v>
      </c>
      <c r="G13" s="1064"/>
      <c r="H13" s="804" t="s">
        <v>22</v>
      </c>
      <c r="I13" s="29" t="s">
        <v>23</v>
      </c>
      <c r="J13" s="29" t="s">
        <v>20</v>
      </c>
      <c r="K13" s="29" t="s">
        <v>24</v>
      </c>
      <c r="L13" s="29" t="s">
        <v>25</v>
      </c>
      <c r="M13" s="1061"/>
      <c r="N13" s="1061"/>
      <c r="O13" s="29" t="s">
        <v>26</v>
      </c>
      <c r="P13" s="29" t="s">
        <v>27</v>
      </c>
      <c r="Q13" s="1061"/>
      <c r="R13" s="1061"/>
      <c r="S13" s="1061"/>
    </row>
    <row r="14" spans="1:20" ht="62.5">
      <c r="A14" s="864" t="str">
        <f>+A8</f>
        <v>INSTITUCIÓN EDUCATIVA  AGROPISCÍCOLA LAS COMPUERTAS</v>
      </c>
      <c r="B14" s="865" t="s">
        <v>578</v>
      </c>
      <c r="C14" s="865" t="s">
        <v>577</v>
      </c>
      <c r="D14" s="30" t="s">
        <v>546</v>
      </c>
      <c r="E14" s="30"/>
      <c r="F14" s="31"/>
      <c r="G14" s="805">
        <v>0</v>
      </c>
      <c r="H14" s="32"/>
      <c r="I14" s="30"/>
      <c r="J14" s="30"/>
      <c r="K14" s="30"/>
      <c r="L14" s="30"/>
      <c r="M14" s="944">
        <v>0</v>
      </c>
      <c r="N14" s="30">
        <v>0</v>
      </c>
      <c r="O14" s="30"/>
      <c r="P14" s="30" t="s">
        <v>546</v>
      </c>
      <c r="Q14" s="786"/>
      <c r="R14" s="30"/>
      <c r="S14" s="33"/>
    </row>
    <row r="15" spans="1:20">
      <c r="A15" s="34"/>
      <c r="B15" s="35"/>
      <c r="C15" s="35"/>
      <c r="D15" s="35"/>
      <c r="E15" s="35"/>
      <c r="F15" s="36"/>
      <c r="G15" s="806"/>
      <c r="H15" s="37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8"/>
      <c r="T15" s="825"/>
    </row>
    <row r="16" spans="1:20">
      <c r="A16" s="34"/>
      <c r="B16" s="35"/>
      <c r="C16" s="35"/>
      <c r="D16" s="35"/>
      <c r="E16" s="35"/>
      <c r="F16" s="36"/>
      <c r="G16" s="806"/>
      <c r="H16" s="37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8"/>
      <c r="T16" s="825"/>
    </row>
    <row r="17" spans="1:20">
      <c r="A17" s="34"/>
      <c r="B17" s="35"/>
      <c r="C17" s="35"/>
      <c r="D17" s="35"/>
      <c r="E17" s="35"/>
      <c r="F17" s="36"/>
      <c r="G17" s="806"/>
      <c r="H17" s="37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8"/>
      <c r="T17" s="825"/>
    </row>
    <row r="18" spans="1:20">
      <c r="A18" s="34"/>
      <c r="B18" s="35"/>
      <c r="C18" s="35"/>
      <c r="D18" s="35"/>
      <c r="E18" s="35"/>
      <c r="F18" s="36"/>
      <c r="G18" s="806"/>
      <c r="H18" s="37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8"/>
      <c r="T18" s="825"/>
    </row>
    <row r="19" spans="1:20">
      <c r="A19" s="34"/>
      <c r="B19" s="35"/>
      <c r="C19" s="35"/>
      <c r="D19" s="35"/>
      <c r="E19" s="35"/>
      <c r="F19" s="36"/>
      <c r="G19" s="806"/>
      <c r="H19" s="37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8"/>
      <c r="T19" s="825"/>
    </row>
    <row r="20" spans="1:20">
      <c r="A20" s="34"/>
      <c r="B20" s="35"/>
      <c r="C20" s="35"/>
      <c r="D20" s="35"/>
      <c r="E20" s="35"/>
      <c r="F20" s="36"/>
      <c r="G20" s="806"/>
      <c r="H20" s="37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8"/>
    </row>
    <row r="21" spans="1:20">
      <c r="A21" s="34"/>
      <c r="B21" s="35"/>
      <c r="C21" s="35"/>
      <c r="D21" s="35"/>
      <c r="E21" s="35"/>
      <c r="F21" s="36"/>
      <c r="G21" s="806"/>
      <c r="H21" s="37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8"/>
    </row>
    <row r="22" spans="1:20">
      <c r="A22" s="34"/>
      <c r="B22" s="35"/>
      <c r="C22" s="35"/>
      <c r="D22" s="35"/>
      <c r="E22" s="35"/>
      <c r="F22" s="36"/>
      <c r="G22" s="806"/>
      <c r="H22" s="37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8"/>
    </row>
    <row r="23" spans="1:20">
      <c r="A23" s="34"/>
      <c r="B23" s="35"/>
      <c r="C23" s="35"/>
      <c r="D23" s="35"/>
      <c r="E23" s="35"/>
      <c r="F23" s="36"/>
      <c r="G23" s="806"/>
      <c r="H23" s="37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8"/>
    </row>
    <row r="24" spans="1:20">
      <c r="A24" s="34"/>
      <c r="B24" s="35"/>
      <c r="C24" s="35"/>
      <c r="D24" s="35"/>
      <c r="E24" s="35"/>
      <c r="F24" s="36"/>
      <c r="G24" s="806"/>
      <c r="H24" s="37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8"/>
    </row>
    <row r="25" spans="1:20">
      <c r="A25" s="34"/>
      <c r="B25" s="35"/>
      <c r="C25" s="35"/>
      <c r="D25" s="35"/>
      <c r="E25" s="35"/>
      <c r="F25" s="36"/>
      <c r="G25" s="806"/>
      <c r="H25" s="37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8"/>
    </row>
    <row r="26" spans="1:20">
      <c r="A26" s="39"/>
      <c r="B26" s="40"/>
      <c r="C26" s="40"/>
      <c r="D26" s="40"/>
      <c r="E26" s="40"/>
      <c r="F26" s="41"/>
      <c r="G26" s="807"/>
      <c r="H26" s="42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3"/>
    </row>
    <row r="27" spans="1:20">
      <c r="A27" s="44"/>
      <c r="B27" s="45"/>
      <c r="C27" s="46"/>
      <c r="D27" s="46"/>
      <c r="E27" s="46"/>
      <c r="F27" s="46"/>
      <c r="G27" s="3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7"/>
    </row>
    <row r="28" spans="1:20">
      <c r="A28" s="48"/>
      <c r="B28" s="49"/>
      <c r="C28" s="3"/>
      <c r="D28" s="49" t="s">
        <v>28</v>
      </c>
      <c r="E28" s="49"/>
      <c r="F28" s="49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50"/>
    </row>
    <row r="29" spans="1:20">
      <c r="A29" s="48"/>
      <c r="B29" s="49"/>
      <c r="C29" s="3"/>
      <c r="D29" s="49" t="s">
        <v>29</v>
      </c>
      <c r="E29" s="49"/>
      <c r="F29" s="49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50"/>
    </row>
    <row r="30" spans="1:20">
      <c r="A30" s="48"/>
      <c r="B30" s="49"/>
      <c r="C30" s="3"/>
      <c r="D30" s="49" t="s">
        <v>30</v>
      </c>
      <c r="E30" s="49"/>
      <c r="F30" s="49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50"/>
    </row>
    <row r="31" spans="1:20">
      <c r="A31" s="51"/>
      <c r="B31" s="52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4"/>
    </row>
    <row r="32" spans="1:20">
      <c r="A32" s="44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7"/>
    </row>
    <row r="33" spans="1:19">
      <c r="A33" s="48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50"/>
    </row>
    <row r="34" spans="1:19" ht="13">
      <c r="A34" s="55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56"/>
      <c r="Q34" s="3"/>
      <c r="R34" s="3"/>
      <c r="S34" s="57" t="s">
        <v>31</v>
      </c>
    </row>
    <row r="35" spans="1:19" ht="13">
      <c r="A35" s="55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58" t="s">
        <v>32</v>
      </c>
    </row>
    <row r="36" spans="1:19">
      <c r="A36" s="5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4"/>
    </row>
    <row r="38" spans="1:19" ht="13">
      <c r="A38" s="59" t="s">
        <v>33</v>
      </c>
    </row>
  </sheetData>
  <mergeCells count="15">
    <mergeCell ref="N11:N13"/>
    <mergeCell ref="O11:P12"/>
    <mergeCell ref="Q11:Q13"/>
    <mergeCell ref="R11:R13"/>
    <mergeCell ref="S11:S13"/>
    <mergeCell ref="F1:N1"/>
    <mergeCell ref="F3:N3"/>
    <mergeCell ref="F4:N4"/>
    <mergeCell ref="M11:M13"/>
    <mergeCell ref="A11:A13"/>
    <mergeCell ref="B11:B13"/>
    <mergeCell ref="C11:C13"/>
    <mergeCell ref="D11:F12"/>
    <mergeCell ref="G11:G13"/>
    <mergeCell ref="H11:L12"/>
  </mergeCells>
  <pageMargins left="0.59055118110236227" right="0.15748031496062992" top="0.59055118110236227" bottom="0.39370078740157483" header="0.51181102362204722" footer="0.51181102362204722"/>
  <pageSetup paperSize="5" scale="90" firstPageNumber="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8669B-BD25-48A0-BD7D-EE80206DFFB1}">
  <sheetPr>
    <tabColor rgb="FF92D050"/>
  </sheetPr>
  <dimension ref="B1:Z39"/>
  <sheetViews>
    <sheetView topLeftCell="A8" zoomScale="75" zoomScaleNormal="75" workbookViewId="0">
      <selection activeCell="P24" sqref="P24"/>
    </sheetView>
  </sheetViews>
  <sheetFormatPr baseColWidth="10" defaultColWidth="11.453125" defaultRowHeight="13"/>
  <cols>
    <col min="1" max="1" width="6.81640625" style="60" customWidth="1"/>
    <col min="2" max="2" width="14.81640625" style="60" customWidth="1"/>
    <col min="3" max="3" width="4.453125" style="60" customWidth="1"/>
    <col min="4" max="4" width="4.1796875" style="60" customWidth="1"/>
    <col min="5" max="5" width="3.1796875" style="60" customWidth="1"/>
    <col min="6" max="6" width="2.81640625" style="60" customWidth="1"/>
    <col min="7" max="7" width="3.81640625" style="60" customWidth="1"/>
    <col min="8" max="8" width="4.81640625" style="60" customWidth="1"/>
    <col min="9" max="9" width="8.453125" style="60" customWidth="1"/>
    <col min="10" max="10" width="13.26953125" style="60" customWidth="1"/>
    <col min="11" max="11" width="17" style="60" customWidth="1"/>
    <col min="12" max="12" width="0" style="60" hidden="1" customWidth="1"/>
    <col min="13" max="13" width="4.453125" style="60" customWidth="1"/>
    <col min="14" max="14" width="5.1796875" style="60" customWidth="1"/>
    <col min="15" max="15" width="12.7265625" style="60" customWidth="1"/>
    <col min="16" max="16" width="13" style="60" customWidth="1"/>
    <col min="17" max="17" width="0" style="60" hidden="1" customWidth="1"/>
    <col min="18" max="19" width="3.1796875" style="60" customWidth="1"/>
    <col min="20" max="20" width="10.54296875" style="60" customWidth="1"/>
    <col min="21" max="21" width="13.453125" style="60" customWidth="1"/>
    <col min="22" max="22" width="12.7265625" style="60" customWidth="1"/>
    <col min="23" max="23" width="14" style="60" customWidth="1"/>
    <col min="24" max="16384" width="11.453125" style="60"/>
  </cols>
  <sheetData>
    <row r="1" spans="2:23" ht="10.5" customHeight="1"/>
    <row r="2" spans="2:23" ht="9" customHeight="1"/>
    <row r="3" spans="2:23" ht="12" customHeight="1">
      <c r="H3" s="61"/>
      <c r="I3" s="62"/>
      <c r="J3" s="62"/>
      <c r="K3" s="62"/>
      <c r="L3" s="62"/>
      <c r="M3" s="62"/>
      <c r="N3" s="62"/>
      <c r="O3" s="62"/>
      <c r="P3" s="61"/>
      <c r="Q3" s="61"/>
      <c r="R3" s="61"/>
      <c r="S3" s="61"/>
      <c r="T3" s="61"/>
    </row>
    <row r="4" spans="2:23" ht="15" customHeight="1">
      <c r="G4" s="63"/>
      <c r="H4" s="64"/>
      <c r="I4" s="64"/>
      <c r="J4" s="64"/>
      <c r="K4" s="64"/>
      <c r="L4" s="64"/>
      <c r="M4" s="64"/>
      <c r="N4" s="64"/>
      <c r="O4" s="62" t="s">
        <v>0</v>
      </c>
      <c r="P4" s="62"/>
      <c r="Q4" s="62"/>
      <c r="R4" s="62"/>
      <c r="S4" s="62"/>
      <c r="T4" s="62"/>
      <c r="U4" s="62"/>
      <c r="V4" s="61"/>
    </row>
    <row r="5" spans="2:23" ht="14">
      <c r="G5" s="65"/>
      <c r="H5" s="1075"/>
      <c r="I5" s="1075"/>
      <c r="J5" s="1075"/>
      <c r="K5" s="1075"/>
      <c r="L5" s="1075"/>
      <c r="M5" s="1075"/>
      <c r="N5" s="1075"/>
      <c r="O5" s="1075"/>
      <c r="P5" s="1075"/>
      <c r="Q5" s="1075"/>
      <c r="R5" s="1075"/>
      <c r="S5" s="1075"/>
      <c r="T5" s="1075"/>
    </row>
    <row r="6" spans="2:23" ht="14">
      <c r="G6" s="65"/>
      <c r="H6" s="1076"/>
      <c r="I6" s="1076"/>
      <c r="J6" s="1076"/>
      <c r="K6" s="1076"/>
      <c r="L6" s="1076"/>
      <c r="M6" s="1076"/>
      <c r="N6" s="1076"/>
      <c r="O6" s="1076"/>
      <c r="P6" s="1076"/>
      <c r="Q6" s="1076"/>
      <c r="R6" s="1076"/>
      <c r="S6" s="1076"/>
      <c r="T6" s="1076"/>
      <c r="U6" s="68"/>
      <c r="V6" s="68"/>
      <c r="W6" s="69"/>
    </row>
    <row r="7" spans="2:23" ht="14">
      <c r="G7" s="65"/>
      <c r="H7" s="70"/>
      <c r="I7" s="71"/>
      <c r="J7" s="1077" t="s">
        <v>34</v>
      </c>
      <c r="K7" s="1077"/>
      <c r="L7" s="1077"/>
      <c r="M7" s="1077"/>
      <c r="N7" s="1077"/>
      <c r="O7" s="1077"/>
      <c r="P7" s="1077"/>
      <c r="Q7" s="1077"/>
      <c r="R7" s="1077"/>
      <c r="S7" s="1077"/>
      <c r="T7" s="1077"/>
      <c r="U7" s="1077"/>
      <c r="V7" s="1077"/>
      <c r="W7" s="1077"/>
    </row>
    <row r="8" spans="2:23" ht="14">
      <c r="G8" s="63"/>
      <c r="H8" s="72"/>
      <c r="I8" s="73"/>
      <c r="J8" s="1078" t="s">
        <v>35</v>
      </c>
      <c r="K8" s="1078"/>
      <c r="L8" s="1078"/>
      <c r="M8" s="1078"/>
      <c r="N8" s="1078"/>
      <c r="O8" s="1078"/>
      <c r="P8" s="1078"/>
      <c r="Q8" s="1078"/>
      <c r="R8" s="1078"/>
      <c r="S8" s="1078"/>
      <c r="T8" s="1078"/>
      <c r="U8" s="1078"/>
      <c r="V8" s="1078"/>
      <c r="W8" s="74"/>
    </row>
    <row r="9" spans="2:23" ht="14">
      <c r="G9" s="63"/>
      <c r="H9" s="64"/>
      <c r="I9" s="64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3"/>
    </row>
    <row r="10" spans="2:23" ht="14">
      <c r="G10" s="63"/>
      <c r="H10" s="64"/>
      <c r="I10" s="64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3"/>
    </row>
    <row r="11" spans="2:23"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</row>
    <row r="12" spans="2:23">
      <c r="B12" s="75" t="s">
        <v>36</v>
      </c>
      <c r="C12" s="68"/>
      <c r="D12" s="68"/>
      <c r="E12" s="68"/>
      <c r="F12" s="68"/>
      <c r="G12" s="68"/>
      <c r="H12" s="68"/>
      <c r="I12" s="68"/>
      <c r="J12" s="68"/>
      <c r="K12" s="75" t="s">
        <v>37</v>
      </c>
      <c r="L12" s="68"/>
      <c r="M12" s="68"/>
      <c r="N12" s="68"/>
      <c r="O12" s="68"/>
      <c r="P12" s="75" t="s">
        <v>567</v>
      </c>
      <c r="Q12" s="68"/>
      <c r="R12" s="68"/>
      <c r="S12" s="68"/>
      <c r="T12" s="68"/>
      <c r="U12" s="75"/>
      <c r="V12" s="68"/>
      <c r="W12" s="69"/>
    </row>
    <row r="13" spans="2:23">
      <c r="B13" s="17" t="str">
        <f>+'CDA1'!A8</f>
        <v>INSTITUCIÓN EDUCATIVA  AGROPISCÍCOLA LAS COMPUERTAS</v>
      </c>
      <c r="C13" s="77"/>
      <c r="D13" s="77"/>
      <c r="E13" s="77"/>
      <c r="F13" s="77"/>
      <c r="G13" s="77"/>
      <c r="H13" s="77"/>
      <c r="I13" s="77"/>
      <c r="J13" s="77"/>
      <c r="K13" s="76" t="str">
        <f>+'CDA1'!I7</f>
        <v>900678838-1</v>
      </c>
      <c r="L13" s="77"/>
      <c r="M13" s="77"/>
      <c r="N13" s="77"/>
      <c r="O13" s="77"/>
      <c r="P13" s="78" t="s">
        <v>492</v>
      </c>
      <c r="Q13" s="79"/>
      <c r="R13" s="79"/>
      <c r="S13" s="79"/>
      <c r="T13" s="79"/>
      <c r="U13" s="80" t="s">
        <v>493</v>
      </c>
      <c r="V13" s="63" t="s">
        <v>494</v>
      </c>
      <c r="W13" s="81"/>
    </row>
    <row r="14" spans="2:23">
      <c r="B14" s="76" t="str">
        <f>+'CDA1'!A9</f>
        <v>NOMBRE REP. LEGAL EDGARDO ESPITER LOPEZ</v>
      </c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6" t="s">
        <v>491</v>
      </c>
      <c r="Q14" s="77"/>
      <c r="R14" s="77"/>
      <c r="S14" s="77"/>
      <c r="T14" s="77"/>
      <c r="U14" s="76"/>
      <c r="V14" s="77"/>
      <c r="W14" s="74"/>
    </row>
    <row r="15" spans="2:23">
      <c r="I15" s="82"/>
      <c r="R15" s="82"/>
      <c r="S15" s="82"/>
    </row>
    <row r="16" spans="2:23" ht="27.75" customHeight="1">
      <c r="B16" s="83"/>
      <c r="C16" s="1079" t="s">
        <v>12</v>
      </c>
      <c r="D16" s="1079"/>
      <c r="E16" s="1079"/>
      <c r="F16" s="1079"/>
      <c r="G16" s="1079"/>
      <c r="H16" s="1079"/>
      <c r="I16" s="84" t="s">
        <v>38</v>
      </c>
      <c r="J16" s="85" t="s">
        <v>39</v>
      </c>
      <c r="K16" s="86" t="s">
        <v>40</v>
      </c>
      <c r="L16" s="87"/>
      <c r="M16" s="87" t="s">
        <v>41</v>
      </c>
      <c r="N16" s="87" t="s">
        <v>42</v>
      </c>
      <c r="O16" s="88"/>
      <c r="P16" s="89" t="s">
        <v>43</v>
      </c>
      <c r="Q16" s="90" t="s">
        <v>44</v>
      </c>
      <c r="R16" s="91" t="s">
        <v>45</v>
      </c>
      <c r="S16" s="92"/>
      <c r="T16" s="93"/>
      <c r="U16" s="94" t="s">
        <v>43</v>
      </c>
      <c r="V16" s="85" t="s">
        <v>44</v>
      </c>
      <c r="W16" s="95" t="s">
        <v>46</v>
      </c>
    </row>
    <row r="17" spans="2:26" ht="21.75" customHeight="1">
      <c r="B17" s="96" t="s">
        <v>47</v>
      </c>
      <c r="C17" s="97" t="s">
        <v>26</v>
      </c>
      <c r="D17" s="98" t="s">
        <v>27</v>
      </c>
      <c r="E17" s="98" t="s">
        <v>22</v>
      </c>
      <c r="F17" s="98" t="s">
        <v>23</v>
      </c>
      <c r="G17" s="98" t="s">
        <v>20</v>
      </c>
      <c r="H17" s="98" t="s">
        <v>48</v>
      </c>
      <c r="I17" s="99"/>
      <c r="J17" s="96" t="s">
        <v>49</v>
      </c>
      <c r="K17" s="100"/>
      <c r="L17" s="101"/>
      <c r="M17" s="102" t="s">
        <v>50</v>
      </c>
      <c r="N17" s="103" t="s">
        <v>27</v>
      </c>
      <c r="O17" s="104" t="s">
        <v>38</v>
      </c>
      <c r="P17" s="105" t="s">
        <v>49</v>
      </c>
      <c r="Q17" s="106"/>
      <c r="R17" s="102" t="s">
        <v>26</v>
      </c>
      <c r="S17" s="103" t="s">
        <v>27</v>
      </c>
      <c r="T17" s="107" t="s">
        <v>38</v>
      </c>
      <c r="U17" s="105" t="s">
        <v>49</v>
      </c>
      <c r="V17" s="96" t="s">
        <v>51</v>
      </c>
      <c r="W17" s="108" t="s">
        <v>52</v>
      </c>
    </row>
    <row r="18" spans="2:26" ht="33.75" customHeight="1">
      <c r="B18" s="109" t="s">
        <v>53</v>
      </c>
      <c r="C18" s="110"/>
      <c r="D18" s="778" t="s">
        <v>546</v>
      </c>
      <c r="E18" s="110"/>
      <c r="F18" s="110"/>
      <c r="G18" s="110"/>
      <c r="H18" s="110"/>
      <c r="I18" s="110"/>
      <c r="J18" s="111"/>
      <c r="K18" s="112" t="s">
        <v>54</v>
      </c>
      <c r="L18" s="113"/>
      <c r="M18" s="110"/>
      <c r="N18" s="778" t="s">
        <v>546</v>
      </c>
      <c r="O18" s="110"/>
      <c r="P18" s="113"/>
      <c r="Q18" s="113"/>
      <c r="R18" s="110" t="s">
        <v>546</v>
      </c>
      <c r="S18" s="110"/>
      <c r="T18" s="110"/>
      <c r="U18" s="113">
        <v>201</v>
      </c>
      <c r="V18" s="113" t="s">
        <v>27</v>
      </c>
      <c r="W18" s="114"/>
    </row>
    <row r="19" spans="2:26" ht="33" customHeight="1">
      <c r="B19" s="115" t="s">
        <v>55</v>
      </c>
      <c r="C19" s="116"/>
      <c r="D19" s="779" t="s">
        <v>546</v>
      </c>
      <c r="E19" s="116"/>
      <c r="F19" s="116"/>
      <c r="G19" s="116"/>
      <c r="H19" s="116"/>
      <c r="I19" s="116"/>
      <c r="J19" s="117"/>
      <c r="K19" s="115" t="s">
        <v>56</v>
      </c>
      <c r="L19" s="116"/>
      <c r="M19" s="116"/>
      <c r="N19" s="779" t="s">
        <v>546</v>
      </c>
      <c r="O19" s="116"/>
      <c r="P19" s="116"/>
      <c r="Q19" s="116"/>
      <c r="R19" s="116"/>
      <c r="S19" s="116"/>
      <c r="T19" s="116"/>
      <c r="U19" s="116"/>
      <c r="V19" s="116"/>
      <c r="W19" s="118"/>
    </row>
    <row r="20" spans="2:26" ht="30.75" customHeight="1">
      <c r="B20" s="115" t="s">
        <v>57</v>
      </c>
      <c r="C20" s="116"/>
      <c r="D20" s="779" t="s">
        <v>546</v>
      </c>
      <c r="E20" s="116"/>
      <c r="F20" s="116"/>
      <c r="G20" s="116"/>
      <c r="H20" s="116"/>
      <c r="I20" s="116"/>
      <c r="J20" s="117"/>
      <c r="K20" s="115" t="s">
        <v>58</v>
      </c>
      <c r="L20" s="116"/>
      <c r="M20" s="116"/>
      <c r="N20" s="779" t="s">
        <v>546</v>
      </c>
      <c r="O20" s="116"/>
      <c r="P20" s="116"/>
      <c r="Q20" s="116"/>
      <c r="R20" s="116"/>
      <c r="S20" s="116"/>
      <c r="T20" s="116"/>
      <c r="U20" s="116"/>
      <c r="V20" s="116"/>
      <c r="W20" s="118"/>
    </row>
    <row r="21" spans="2:26" ht="33" customHeight="1">
      <c r="B21" s="115" t="s">
        <v>59</v>
      </c>
      <c r="C21" s="116"/>
      <c r="D21" s="779" t="s">
        <v>546</v>
      </c>
      <c r="E21" s="116"/>
      <c r="F21" s="116"/>
      <c r="G21" s="116"/>
      <c r="H21" s="116"/>
      <c r="I21" s="116"/>
      <c r="J21" s="117"/>
      <c r="K21" s="115" t="s">
        <v>60</v>
      </c>
      <c r="L21" s="116"/>
      <c r="M21" s="116"/>
      <c r="N21" s="779" t="s">
        <v>546</v>
      </c>
      <c r="O21" s="116"/>
      <c r="P21" s="119"/>
      <c r="Q21" s="116"/>
      <c r="R21" s="116"/>
      <c r="S21" s="116"/>
      <c r="T21" s="116"/>
      <c r="U21" s="116"/>
      <c r="V21" s="116"/>
      <c r="W21" s="118"/>
    </row>
    <row r="22" spans="2:26" ht="30" customHeight="1">
      <c r="B22" s="115" t="s">
        <v>61</v>
      </c>
      <c r="C22" s="116"/>
      <c r="D22" s="779" t="s">
        <v>546</v>
      </c>
      <c r="E22" s="116"/>
      <c r="F22" s="116"/>
      <c r="G22" s="116"/>
      <c r="H22" s="116"/>
      <c r="I22" s="116"/>
      <c r="J22" s="117"/>
      <c r="K22" s="115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8"/>
    </row>
    <row r="23" spans="2:26" ht="27" customHeight="1">
      <c r="B23" s="120" t="s">
        <v>60</v>
      </c>
      <c r="C23" s="121"/>
      <c r="D23" s="780" t="s">
        <v>546</v>
      </c>
      <c r="E23" s="121"/>
      <c r="F23" s="121"/>
      <c r="G23" s="121"/>
      <c r="H23" s="121"/>
      <c r="I23" s="121"/>
      <c r="J23" s="122"/>
      <c r="K23" s="120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3"/>
    </row>
    <row r="24" spans="2:26" ht="13.5" customHeight="1">
      <c r="B24" s="124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6"/>
      <c r="Q24" s="125"/>
      <c r="R24" s="125"/>
      <c r="S24" s="125"/>
      <c r="T24" s="125"/>
      <c r="U24" s="125"/>
      <c r="V24" s="125"/>
      <c r="W24" s="127"/>
    </row>
    <row r="25" spans="2:26" ht="13.5" customHeight="1">
      <c r="B25" s="128"/>
      <c r="C25" s="129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30"/>
      <c r="Q25" s="129"/>
      <c r="R25" s="129"/>
      <c r="S25" s="129"/>
      <c r="T25" s="129"/>
      <c r="U25" s="129"/>
      <c r="V25" s="129"/>
      <c r="W25" s="131"/>
    </row>
    <row r="26" spans="2:26" ht="15" customHeight="1">
      <c r="B26" s="128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31"/>
    </row>
    <row r="27" spans="2:26" ht="15" customHeight="1">
      <c r="B27" s="132" t="s">
        <v>62</v>
      </c>
      <c r="C27" s="106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31"/>
    </row>
    <row r="28" spans="2:26" ht="15" customHeight="1">
      <c r="B28" s="132"/>
      <c r="C28" s="106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31"/>
    </row>
    <row r="29" spans="2:26" ht="15" customHeight="1">
      <c r="B29" s="128" t="s">
        <v>63</v>
      </c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31"/>
    </row>
    <row r="30" spans="2:26" ht="15" customHeight="1">
      <c r="B30" s="128" t="s">
        <v>64</v>
      </c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31"/>
    </row>
    <row r="31" spans="2:26" ht="15" customHeight="1">
      <c r="B31" s="128" t="s">
        <v>65</v>
      </c>
      <c r="C31" s="129"/>
      <c r="D31" s="129"/>
      <c r="E31" s="129"/>
      <c r="F31" s="129"/>
      <c r="G31" s="129"/>
      <c r="H31" s="129"/>
      <c r="I31" s="129"/>
      <c r="J31" s="64" t="s">
        <v>66</v>
      </c>
      <c r="K31" s="64"/>
      <c r="L31" s="64"/>
      <c r="M31" s="64"/>
      <c r="N31" s="64"/>
      <c r="O31" s="64"/>
      <c r="P31" s="64"/>
      <c r="Q31" s="64"/>
      <c r="R31" s="64"/>
      <c r="S31" s="64"/>
      <c r="T31" s="64" t="s">
        <v>67</v>
      </c>
      <c r="U31" s="64"/>
      <c r="V31" s="64"/>
      <c r="W31" s="133"/>
      <c r="X31" s="106"/>
      <c r="Y31" s="106"/>
      <c r="Z31" s="106"/>
    </row>
    <row r="32" spans="2:26" ht="15" customHeight="1">
      <c r="B32" s="128" t="s">
        <v>68</v>
      </c>
      <c r="C32" s="129"/>
      <c r="D32" s="129"/>
      <c r="E32" s="129"/>
      <c r="F32" s="129"/>
      <c r="G32" s="129"/>
      <c r="H32" s="129"/>
      <c r="I32" s="129"/>
      <c r="J32" s="3" t="s">
        <v>69</v>
      </c>
      <c r="K32" s="3"/>
      <c r="L32" s="3"/>
      <c r="M32" s="3"/>
      <c r="N32" s="3"/>
      <c r="O32" s="3"/>
      <c r="P32" s="3"/>
      <c r="Q32" s="3"/>
      <c r="R32" s="3"/>
      <c r="S32" s="3"/>
      <c r="T32" s="3" t="s">
        <v>70</v>
      </c>
      <c r="U32" s="3"/>
      <c r="V32" s="3"/>
      <c r="W32" s="50"/>
      <c r="X32" s="106"/>
      <c r="Y32" s="106"/>
      <c r="Z32" s="106"/>
    </row>
    <row r="33" spans="2:23" ht="15" customHeight="1">
      <c r="B33" s="128" t="s">
        <v>71</v>
      </c>
      <c r="C33" s="129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29"/>
      <c r="V33" s="129"/>
      <c r="W33" s="131"/>
    </row>
    <row r="34" spans="2:23" ht="15" customHeight="1">
      <c r="B34" s="134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135"/>
    </row>
    <row r="35" spans="2:23" ht="15" customHeight="1"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</row>
    <row r="36" spans="2:23" ht="15" customHeight="1">
      <c r="B36" s="137" t="s">
        <v>72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</row>
    <row r="37" spans="2:23" ht="15" customHeight="1">
      <c r="B37" s="136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</row>
    <row r="38" spans="2:23" ht="15" customHeight="1">
      <c r="B38" s="136"/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</row>
    <row r="39" spans="2:23" ht="15" customHeight="1">
      <c r="B39" s="136"/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</row>
  </sheetData>
  <mergeCells count="5">
    <mergeCell ref="H5:T5"/>
    <mergeCell ref="H6:T6"/>
    <mergeCell ref="J7:W7"/>
    <mergeCell ref="J8:V8"/>
    <mergeCell ref="C16:H16"/>
  </mergeCells>
  <pageMargins left="0.78740157480314965" right="0.19685039370078741" top="0.39370078740157483" bottom="0.19685039370078741" header="0.51181102362204722" footer="0.51181102362204722"/>
  <pageSetup paperSize="5" scale="85" firstPageNumber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492E4-8C3D-4259-B810-B1228397BB64}">
  <sheetPr>
    <tabColor rgb="FF92D050"/>
  </sheetPr>
  <dimension ref="B2:K41"/>
  <sheetViews>
    <sheetView zoomScale="75" zoomScaleNormal="75" workbookViewId="0">
      <selection activeCell="H23" sqref="H23"/>
    </sheetView>
  </sheetViews>
  <sheetFormatPr baseColWidth="10" defaultRowHeight="12.5"/>
  <cols>
    <col min="1" max="1" width="4.7265625" customWidth="1"/>
    <col min="2" max="2" width="3.81640625" customWidth="1"/>
    <col min="3" max="3" width="3.54296875" customWidth="1"/>
    <col min="4" max="4" width="4.7265625" customWidth="1"/>
    <col min="5" max="5" width="6.54296875" customWidth="1"/>
    <col min="6" max="6" width="20.26953125" customWidth="1"/>
    <col min="7" max="7" width="31.54296875" customWidth="1"/>
    <col min="8" max="8" width="28.1796875" customWidth="1"/>
    <col min="9" max="9" width="19.54296875" customWidth="1"/>
    <col min="10" max="10" width="35.453125" customWidth="1"/>
  </cols>
  <sheetData>
    <row r="2" spans="2:10" ht="20.25" customHeight="1">
      <c r="G2" s="1080" t="s">
        <v>0</v>
      </c>
      <c r="H2" s="1080"/>
      <c r="I2" s="1080"/>
    </row>
    <row r="4" spans="2:10" ht="13">
      <c r="G4" s="1081" t="s">
        <v>34</v>
      </c>
      <c r="H4" s="1081"/>
      <c r="I4" s="1081"/>
    </row>
    <row r="5" spans="2:10" ht="13">
      <c r="G5" s="1082" t="s">
        <v>73</v>
      </c>
      <c r="H5" s="1082"/>
      <c r="I5" s="1082"/>
    </row>
    <row r="6" spans="2:10">
      <c r="G6" s="51"/>
      <c r="H6" s="53"/>
      <c r="I6" s="54"/>
    </row>
    <row r="7" spans="2:10">
      <c r="G7" s="3"/>
      <c r="H7" s="3"/>
      <c r="I7" s="3"/>
    </row>
    <row r="8" spans="2:10">
      <c r="G8" s="3"/>
      <c r="H8" s="3"/>
      <c r="I8" s="3"/>
    </row>
    <row r="9" spans="2:10">
      <c r="G9" s="3"/>
      <c r="H9" s="3"/>
      <c r="I9" s="3"/>
    </row>
    <row r="10" spans="2:10">
      <c r="G10" s="3"/>
      <c r="H10" s="3"/>
      <c r="I10" s="3"/>
    </row>
    <row r="11" spans="2:10" ht="6.75" customHeight="1">
      <c r="G11" s="3"/>
      <c r="H11" s="3"/>
      <c r="I11" s="3"/>
    </row>
    <row r="12" spans="2:10" ht="7.5" customHeight="1">
      <c r="G12" s="3"/>
      <c r="H12" s="3"/>
      <c r="I12" s="3"/>
    </row>
    <row r="13" spans="2:10" ht="13">
      <c r="B13" s="140" t="s">
        <v>36</v>
      </c>
      <c r="C13" s="141"/>
      <c r="D13" s="46"/>
      <c r="E13" s="46"/>
      <c r="F13" s="46"/>
      <c r="G13" s="142" t="s">
        <v>74</v>
      </c>
      <c r="H13" s="1083" t="s">
        <v>568</v>
      </c>
      <c r="I13" s="1083"/>
      <c r="J13" s="144"/>
    </row>
    <row r="14" spans="2:10" ht="13">
      <c r="B14" s="72" t="str">
        <f>+'CDA1'!A8</f>
        <v>INSTITUCIÓN EDUCATIVA  AGROPISCÍCOLA LAS COMPUERTAS</v>
      </c>
      <c r="C14" s="73"/>
      <c r="D14" s="53"/>
      <c r="E14" s="53"/>
      <c r="F14" s="53"/>
      <c r="G14" s="145" t="str">
        <f>+'CDA2'!K13</f>
        <v>900678838-1</v>
      </c>
      <c r="H14" s="146" t="s">
        <v>495</v>
      </c>
      <c r="I14" s="147"/>
      <c r="J14" s="148" t="s">
        <v>496</v>
      </c>
    </row>
    <row r="15" spans="2:10" ht="13">
      <c r="B15" s="72" t="str">
        <f>+'CDA2'!B14</f>
        <v>NOMBRE REP. LEGAL EDGARDO ESPITER LOPEZ</v>
      </c>
      <c r="C15" s="72"/>
      <c r="D15" s="73"/>
      <c r="E15" s="73"/>
      <c r="F15" s="73"/>
      <c r="G15" s="53"/>
      <c r="H15" s="146" t="s">
        <v>491</v>
      </c>
      <c r="I15" s="149"/>
      <c r="J15" s="150"/>
    </row>
    <row r="16" spans="2:10" ht="13">
      <c r="G16" s="3"/>
      <c r="H16" s="64"/>
      <c r="I16" s="64"/>
      <c r="J16" s="64"/>
    </row>
    <row r="17" spans="2:11">
      <c r="B17" s="1084" t="s">
        <v>75</v>
      </c>
      <c r="C17" s="1084"/>
      <c r="D17" s="1084"/>
      <c r="E17" s="1084"/>
      <c r="F17" s="151" t="s">
        <v>76</v>
      </c>
      <c r="G17" s="152"/>
      <c r="H17" s="152"/>
      <c r="I17" s="152"/>
      <c r="J17" s="152"/>
      <c r="K17" s="153"/>
    </row>
    <row r="18" spans="2:11">
      <c r="B18" s="154"/>
      <c r="C18" s="155"/>
      <c r="D18" s="155"/>
      <c r="E18" s="156"/>
      <c r="F18" s="157"/>
      <c r="G18" s="158" t="s">
        <v>77</v>
      </c>
      <c r="H18" s="158" t="s">
        <v>78</v>
      </c>
      <c r="I18" s="158" t="s">
        <v>79</v>
      </c>
      <c r="J18" s="158" t="s">
        <v>80</v>
      </c>
      <c r="K18" s="153"/>
    </row>
    <row r="19" spans="2:11" ht="19.5" customHeight="1">
      <c r="B19" s="159" t="s">
        <v>20</v>
      </c>
      <c r="C19" s="160" t="s">
        <v>81</v>
      </c>
      <c r="D19" s="160" t="s">
        <v>21</v>
      </c>
      <c r="E19" s="161" t="s">
        <v>82</v>
      </c>
      <c r="F19" s="162" t="s">
        <v>83</v>
      </c>
      <c r="G19" s="163"/>
      <c r="H19" s="163"/>
      <c r="I19" s="163"/>
      <c r="J19" s="163"/>
      <c r="K19" s="153"/>
    </row>
    <row r="20" spans="2:11" ht="33.75" customHeight="1">
      <c r="B20" s="34" t="s">
        <v>546</v>
      </c>
      <c r="C20" s="35"/>
      <c r="D20" s="35"/>
      <c r="E20" s="35"/>
      <c r="F20" s="164"/>
      <c r="G20" s="164"/>
      <c r="H20" s="164"/>
      <c r="I20" s="164"/>
      <c r="J20" s="945" t="s">
        <v>565</v>
      </c>
    </row>
    <row r="21" spans="2:11" ht="18.75" customHeight="1">
      <c r="B21" s="34"/>
      <c r="C21" s="35"/>
      <c r="D21" s="35"/>
      <c r="E21" s="35"/>
      <c r="F21" s="35"/>
      <c r="G21" s="35"/>
      <c r="H21" s="35"/>
      <c r="I21" s="35"/>
      <c r="J21" s="38"/>
    </row>
    <row r="22" spans="2:11" ht="21.75" customHeight="1">
      <c r="B22" s="34"/>
      <c r="C22" s="35"/>
      <c r="D22" s="35"/>
      <c r="E22" s="35"/>
      <c r="F22" s="35"/>
      <c r="G22" s="166"/>
      <c r="H22" s="35"/>
      <c r="I22" s="35"/>
      <c r="J22" s="38"/>
    </row>
    <row r="23" spans="2:11" ht="21.75" customHeight="1">
      <c r="B23" s="34"/>
      <c r="C23" s="35"/>
      <c r="D23" s="35"/>
      <c r="E23" s="35"/>
      <c r="F23" s="35"/>
      <c r="G23" s="35"/>
      <c r="H23" s="35"/>
      <c r="I23" s="35"/>
      <c r="J23" s="38"/>
    </row>
    <row r="24" spans="2:11" ht="16.5" customHeight="1">
      <c r="B24" s="34"/>
      <c r="C24" s="35"/>
      <c r="D24" s="35"/>
      <c r="E24" s="35"/>
      <c r="F24" s="35"/>
      <c r="G24" s="35"/>
      <c r="H24" s="35"/>
      <c r="I24" s="35"/>
      <c r="J24" s="38"/>
    </row>
    <row r="25" spans="2:11" ht="19.5" customHeight="1">
      <c r="B25" s="34"/>
      <c r="C25" s="35"/>
      <c r="D25" s="35"/>
      <c r="E25" s="35"/>
      <c r="F25" s="35"/>
      <c r="G25" s="35"/>
      <c r="H25" s="35"/>
      <c r="I25" s="35"/>
      <c r="J25" s="38"/>
    </row>
    <row r="26" spans="2:11" ht="18.75" customHeight="1">
      <c r="B26" s="34"/>
      <c r="C26" s="35"/>
      <c r="D26" s="35"/>
      <c r="E26" s="35"/>
      <c r="F26" s="35"/>
      <c r="G26" s="35"/>
      <c r="H26" s="35"/>
      <c r="I26" s="35"/>
      <c r="J26" s="38"/>
    </row>
    <row r="27" spans="2:11" ht="18.75" customHeight="1">
      <c r="B27" s="34"/>
      <c r="C27" s="35"/>
      <c r="D27" s="35"/>
      <c r="E27" s="35"/>
      <c r="F27" s="35"/>
      <c r="G27" s="35"/>
      <c r="H27" s="35"/>
      <c r="I27" s="35"/>
      <c r="J27" s="38"/>
    </row>
    <row r="28" spans="2:11" ht="18.75" customHeight="1">
      <c r="B28" s="34"/>
      <c r="C28" s="35"/>
      <c r="D28" s="35"/>
      <c r="E28" s="35"/>
      <c r="F28" s="35"/>
      <c r="G28" s="35"/>
      <c r="H28" s="35"/>
      <c r="I28" s="35"/>
      <c r="J28" s="38"/>
    </row>
    <row r="29" spans="2:11" ht="18.75" customHeight="1">
      <c r="B29" s="34"/>
      <c r="C29" s="35"/>
      <c r="D29" s="35"/>
      <c r="E29" s="35"/>
      <c r="F29" s="35"/>
      <c r="G29" s="35"/>
      <c r="H29" s="35"/>
      <c r="I29" s="35"/>
      <c r="J29" s="38"/>
    </row>
    <row r="30" spans="2:11" ht="15" customHeight="1">
      <c r="B30" s="39"/>
      <c r="C30" s="40"/>
      <c r="D30" s="40"/>
      <c r="E30" s="40"/>
      <c r="F30" s="40"/>
      <c r="G30" s="40"/>
      <c r="H30" s="40"/>
      <c r="I30" s="40"/>
      <c r="J30" s="43"/>
    </row>
    <row r="31" spans="2:11" ht="15" customHeight="1">
      <c r="B31" s="3"/>
      <c r="C31" s="3"/>
      <c r="D31" s="3"/>
      <c r="E31" s="3"/>
      <c r="F31" s="3"/>
      <c r="G31" s="3"/>
      <c r="H31" s="3"/>
      <c r="I31" s="3"/>
      <c r="J31" s="3"/>
    </row>
    <row r="32" spans="2:11" ht="6" customHeight="1"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2:11" ht="15" customHeight="1">
      <c r="B33" s="8" t="s">
        <v>84</v>
      </c>
      <c r="C33" s="12"/>
      <c r="D33" s="12"/>
      <c r="E33" s="12"/>
      <c r="F33" s="12"/>
      <c r="G33" s="12"/>
      <c r="H33" s="46"/>
      <c r="I33" s="46"/>
      <c r="J33" s="47"/>
      <c r="K33" s="3"/>
    </row>
    <row r="34" spans="2:11" ht="15" customHeight="1">
      <c r="B34" s="132"/>
      <c r="C34" s="106"/>
      <c r="D34" s="106"/>
      <c r="E34" s="106"/>
      <c r="F34" s="106"/>
      <c r="G34" s="56"/>
      <c r="H34" s="3"/>
      <c r="I34" s="3"/>
      <c r="J34" s="50"/>
      <c r="K34" s="3"/>
    </row>
    <row r="35" spans="2:11" ht="15" customHeight="1">
      <c r="B35" s="132"/>
      <c r="C35" s="106"/>
      <c r="D35" s="106"/>
      <c r="E35" s="106"/>
      <c r="F35" s="106"/>
      <c r="G35" s="56"/>
      <c r="H35" s="3"/>
      <c r="I35" s="3"/>
      <c r="J35" s="50"/>
      <c r="K35" s="3"/>
    </row>
    <row r="36" spans="2:11" ht="15" customHeight="1">
      <c r="B36" s="132"/>
      <c r="C36" s="106"/>
      <c r="D36" s="106"/>
      <c r="E36" s="106"/>
      <c r="F36" s="106"/>
      <c r="G36" s="3"/>
      <c r="H36" s="3"/>
      <c r="I36" s="3"/>
      <c r="J36" s="50"/>
      <c r="K36" s="3"/>
    </row>
    <row r="37" spans="2:11" ht="15" customHeight="1">
      <c r="B37" s="132"/>
      <c r="C37" s="106"/>
      <c r="D37" s="106"/>
      <c r="E37" s="106"/>
      <c r="F37" s="106"/>
      <c r="G37" s="3"/>
      <c r="H37" s="3"/>
      <c r="I37" s="3" t="s">
        <v>85</v>
      </c>
      <c r="J37" s="50"/>
      <c r="K37" s="3"/>
    </row>
    <row r="38" spans="2:11" ht="15" customHeight="1">
      <c r="B38" s="132"/>
      <c r="C38" s="106"/>
      <c r="D38" s="106"/>
      <c r="E38" s="106"/>
      <c r="F38" s="106"/>
      <c r="G38" s="3"/>
      <c r="H38" s="3"/>
      <c r="I38" s="3" t="s">
        <v>86</v>
      </c>
      <c r="J38" s="50"/>
      <c r="K38" s="3"/>
    </row>
    <row r="39" spans="2:11" ht="15" customHeight="1">
      <c r="B39" s="51"/>
      <c r="C39" s="53"/>
      <c r="D39" s="53"/>
      <c r="E39" s="53"/>
      <c r="F39" s="53"/>
      <c r="G39" s="53"/>
      <c r="H39" s="53"/>
      <c r="I39" s="53"/>
      <c r="J39" s="54"/>
      <c r="K39" s="3"/>
    </row>
    <row r="41" spans="2:11" ht="15" customHeight="1">
      <c r="B41" s="59" t="s">
        <v>87</v>
      </c>
    </row>
  </sheetData>
  <mergeCells count="5">
    <mergeCell ref="G2:I2"/>
    <mergeCell ref="G4:I4"/>
    <mergeCell ref="G5:I5"/>
    <mergeCell ref="H13:I13"/>
    <mergeCell ref="B17:E17"/>
  </mergeCells>
  <pageMargins left="0.98425196850393704" right="0.39370078740157483" top="0.19685039370078741" bottom="0.39370078740157483" header="0.51181102362204722" footer="0.51181102362204722"/>
  <pageSetup paperSize="5" scale="90" firstPageNumber="0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B375E-B53E-4907-BF8E-C435526F1F51}">
  <sheetPr>
    <tabColor rgb="FF92D050"/>
  </sheetPr>
  <dimension ref="A1:AC42"/>
  <sheetViews>
    <sheetView zoomScale="75" zoomScaleNormal="75" workbookViewId="0">
      <selection activeCell="K20" sqref="K20"/>
    </sheetView>
  </sheetViews>
  <sheetFormatPr baseColWidth="10" defaultColWidth="11.453125" defaultRowHeight="11.5"/>
  <cols>
    <col min="1" max="1" width="1.453125" style="137" customWidth="1"/>
    <col min="2" max="2" width="0" style="137" hidden="1" customWidth="1"/>
    <col min="3" max="3" width="3.7265625" style="137" customWidth="1"/>
    <col min="4" max="4" width="4.26953125" style="137" customWidth="1"/>
    <col min="5" max="5" width="3.7265625" style="137" customWidth="1"/>
    <col min="6" max="6" width="5" style="137" customWidth="1"/>
    <col min="7" max="7" width="6.81640625" style="137" customWidth="1"/>
    <col min="8" max="8" width="9.26953125" style="137" customWidth="1"/>
    <col min="9" max="9" width="13.1796875" style="137" customWidth="1"/>
    <col min="10" max="10" width="11.81640625" style="137" customWidth="1"/>
    <col min="11" max="11" width="39.54296875" style="137" customWidth="1"/>
    <col min="12" max="16" width="4.7265625" style="137" customWidth="1"/>
    <col min="17" max="17" width="5" style="137" customWidth="1"/>
    <col min="18" max="18" width="10.81640625" style="137" customWidth="1"/>
    <col min="19" max="19" width="8.81640625" style="137" customWidth="1"/>
    <col min="20" max="20" width="8.54296875" style="137" customWidth="1"/>
    <col min="21" max="21" width="15" style="137" customWidth="1"/>
    <col min="22" max="22" width="8.54296875" style="137" customWidth="1"/>
    <col min="23" max="23" width="7.26953125" style="137" customWidth="1"/>
    <col min="24" max="24" width="0" style="137" hidden="1" customWidth="1"/>
    <col min="25" max="25" width="2.81640625" style="137" customWidth="1"/>
    <col min="26" max="26" width="3.1796875" style="137" customWidth="1"/>
    <col min="27" max="27" width="4.26953125" style="137" customWidth="1"/>
    <col min="28" max="28" width="6.453125" style="137" customWidth="1"/>
    <col min="29" max="29" width="9" style="137" customWidth="1"/>
    <col min="30" max="16384" width="11.453125" style="137"/>
  </cols>
  <sheetData>
    <row r="1" spans="2:29" ht="20.25" customHeight="1"/>
    <row r="3" spans="2:29" ht="17.5">
      <c r="I3" s="1087" t="s">
        <v>0</v>
      </c>
      <c r="J3" s="1087"/>
      <c r="K3" s="1087"/>
      <c r="L3" s="1087"/>
      <c r="M3" s="1087"/>
      <c r="N3" s="1087"/>
      <c r="O3" s="1087"/>
      <c r="P3" s="1087"/>
      <c r="Q3" s="1087"/>
      <c r="R3" s="1087"/>
      <c r="S3" s="1087"/>
      <c r="T3" s="1087"/>
      <c r="U3" s="62"/>
    </row>
    <row r="4" spans="2:29" ht="17.5"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62"/>
    </row>
    <row r="5" spans="2:29" ht="15.5">
      <c r="I5" s="168"/>
      <c r="J5" s="1088" t="s">
        <v>34</v>
      </c>
      <c r="K5" s="1088"/>
      <c r="L5" s="1088"/>
      <c r="M5" s="1088"/>
      <c r="N5" s="1088"/>
      <c r="O5" s="1088"/>
      <c r="P5" s="1088"/>
      <c r="Q5" s="1088"/>
      <c r="R5" s="1088"/>
      <c r="S5" s="1088"/>
      <c r="T5" s="1088"/>
      <c r="U5" s="170"/>
      <c r="V5" s="90"/>
      <c r="W5" s="95"/>
    </row>
    <row r="6" spans="2:29" ht="15.5">
      <c r="I6" s="1089" t="s">
        <v>88</v>
      </c>
      <c r="J6" s="1089"/>
      <c r="K6" s="1089"/>
      <c r="L6" s="1089"/>
      <c r="M6" s="1089"/>
      <c r="N6" s="1089"/>
      <c r="O6" s="1089"/>
      <c r="P6" s="1089"/>
      <c r="Q6" s="1089"/>
      <c r="R6" s="1089"/>
      <c r="S6" s="1089"/>
      <c r="T6" s="1089"/>
      <c r="U6" s="1089"/>
      <c r="V6" s="1089"/>
      <c r="W6" s="1089"/>
    </row>
    <row r="7" spans="2:29" ht="14.25" customHeight="1">
      <c r="I7" s="171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3"/>
      <c r="W7" s="174"/>
    </row>
    <row r="8" spans="2:29" ht="15.5"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06"/>
    </row>
    <row r="9" spans="2:29" ht="14">
      <c r="B9" s="106"/>
      <c r="C9" s="177" t="s">
        <v>36</v>
      </c>
      <c r="D9" s="178"/>
      <c r="E9" s="178"/>
      <c r="F9" s="178"/>
      <c r="G9" s="178"/>
      <c r="H9" s="178"/>
      <c r="I9" s="178"/>
      <c r="J9" s="178"/>
      <c r="K9" s="178"/>
      <c r="L9" s="177" t="s">
        <v>74</v>
      </c>
      <c r="M9" s="178"/>
      <c r="N9" s="178"/>
      <c r="O9" s="178"/>
      <c r="P9" s="178"/>
      <c r="Q9" s="179"/>
      <c r="R9" s="177" t="s">
        <v>569</v>
      </c>
      <c r="S9" s="180"/>
      <c r="T9" s="180"/>
      <c r="U9" s="180"/>
      <c r="V9" s="177"/>
      <c r="W9" s="178"/>
      <c r="X9" s="178"/>
      <c r="Y9" s="178"/>
      <c r="Z9" s="178"/>
      <c r="AA9" s="178"/>
      <c r="AB9" s="178"/>
      <c r="AC9" s="179"/>
    </row>
    <row r="10" spans="2:29" ht="14">
      <c r="B10" s="106"/>
      <c r="C10" s="181" t="str">
        <f>+'CDA3'!B14</f>
        <v>INSTITUCIÓN EDUCATIVA  AGROPISCÍCOLA LAS COMPUERTAS</v>
      </c>
      <c r="D10" s="182"/>
      <c r="E10" s="182"/>
      <c r="F10" s="182"/>
      <c r="G10" s="73"/>
      <c r="H10" s="182"/>
      <c r="I10" s="182"/>
      <c r="J10" s="182"/>
      <c r="K10" s="182"/>
      <c r="L10" s="70" t="str">
        <f>+'CDA3'!G14</f>
        <v>900678838-1</v>
      </c>
      <c r="M10" s="71"/>
      <c r="N10" s="71"/>
      <c r="O10" s="71"/>
      <c r="P10" s="71"/>
      <c r="Q10" s="183"/>
      <c r="R10" s="177"/>
      <c r="S10" s="178"/>
      <c r="T10" s="178"/>
      <c r="U10" s="178"/>
      <c r="V10" s="70"/>
      <c r="W10" s="71" t="s">
        <v>499</v>
      </c>
      <c r="X10" s="71"/>
      <c r="Y10" s="71"/>
      <c r="Z10" s="71"/>
      <c r="AA10" s="71" t="s">
        <v>500</v>
      </c>
      <c r="AB10" s="71"/>
      <c r="AC10" s="183"/>
    </row>
    <row r="11" spans="2:29" ht="14">
      <c r="B11" s="106"/>
      <c r="C11" s="184" t="str">
        <f>+'CDA1'!A9</f>
        <v>NOMBRE REP. LEGAL EDGARDO ESPITER LOPEZ</v>
      </c>
      <c r="D11" s="180"/>
      <c r="E11" s="180"/>
      <c r="F11" s="180"/>
      <c r="G11" s="180"/>
      <c r="H11" s="180"/>
      <c r="I11" s="180"/>
      <c r="J11" s="180"/>
      <c r="K11" s="180"/>
      <c r="L11" s="181"/>
      <c r="M11" s="182"/>
      <c r="N11" s="182"/>
      <c r="O11" s="182"/>
      <c r="P11" s="182"/>
      <c r="Q11" s="185"/>
      <c r="R11" s="181" t="s">
        <v>497</v>
      </c>
      <c r="S11" s="182"/>
      <c r="T11" s="182" t="s">
        <v>498</v>
      </c>
      <c r="U11" s="182"/>
      <c r="V11" s="181"/>
      <c r="W11" s="182"/>
      <c r="X11" s="182"/>
      <c r="Y11" s="182"/>
      <c r="Z11" s="182"/>
      <c r="AA11" s="182"/>
      <c r="AB11" s="182"/>
      <c r="AC11" s="185"/>
    </row>
    <row r="12" spans="2:29" ht="7.5" customHeight="1"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AB12" s="90"/>
      <c r="AC12" s="186"/>
    </row>
    <row r="13" spans="2:29">
      <c r="AB13" s="106"/>
      <c r="AC13" s="187"/>
    </row>
    <row r="14" spans="2:29" ht="12.75" customHeight="1">
      <c r="B14" s="106"/>
      <c r="C14" s="1090" t="s">
        <v>89</v>
      </c>
      <c r="D14" s="1090"/>
      <c r="E14" s="1090"/>
      <c r="F14" s="1090"/>
      <c r="G14" s="1090"/>
      <c r="H14" s="189"/>
      <c r="I14" s="188" t="s">
        <v>90</v>
      </c>
      <c r="J14" s="188" t="s">
        <v>91</v>
      </c>
      <c r="K14" s="1091" t="s">
        <v>92</v>
      </c>
      <c r="L14" s="1091"/>
      <c r="M14" s="1091"/>
      <c r="N14" s="67"/>
      <c r="O14" s="190"/>
      <c r="P14" s="190"/>
      <c r="Q14" s="190"/>
      <c r="R14" s="191"/>
      <c r="S14" s="188"/>
      <c r="T14" s="188"/>
      <c r="U14" s="67" t="s">
        <v>91</v>
      </c>
      <c r="V14" s="142" t="s">
        <v>93</v>
      </c>
      <c r="W14" s="192"/>
      <c r="X14" s="178"/>
      <c r="Y14" s="177"/>
      <c r="Z14" s="178"/>
      <c r="AA14" s="179"/>
      <c r="AB14" s="177"/>
      <c r="AC14" s="193"/>
    </row>
    <row r="15" spans="2:29" ht="14">
      <c r="B15" s="106"/>
      <c r="C15" s="70" t="s">
        <v>94</v>
      </c>
      <c r="D15" s="71"/>
      <c r="E15" s="71"/>
      <c r="F15" s="71"/>
      <c r="G15" s="183"/>
      <c r="H15" s="194" t="s">
        <v>13</v>
      </c>
      <c r="I15" s="195" t="s">
        <v>95</v>
      </c>
      <c r="J15" s="195" t="s">
        <v>96</v>
      </c>
      <c r="K15" s="1091"/>
      <c r="L15" s="1091"/>
      <c r="M15" s="1091"/>
      <c r="N15" s="1092" t="s">
        <v>12</v>
      </c>
      <c r="O15" s="1092"/>
      <c r="P15" s="1092"/>
      <c r="Q15" s="1092"/>
      <c r="R15" s="1092"/>
      <c r="S15" s="195" t="s">
        <v>97</v>
      </c>
      <c r="T15" s="195" t="s">
        <v>97</v>
      </c>
      <c r="U15" s="196" t="s">
        <v>98</v>
      </c>
      <c r="V15" s="145" t="s">
        <v>99</v>
      </c>
      <c r="W15" s="197"/>
      <c r="X15" s="71"/>
      <c r="Y15" s="181" t="s">
        <v>12</v>
      </c>
      <c r="Z15" s="182"/>
      <c r="AA15" s="185"/>
      <c r="AB15" s="1093" t="s">
        <v>13</v>
      </c>
      <c r="AC15" s="1093"/>
    </row>
    <row r="16" spans="2:29" ht="21" customHeight="1" thickBot="1">
      <c r="B16" s="198"/>
      <c r="C16" s="199" t="s">
        <v>22</v>
      </c>
      <c r="D16" s="200" t="s">
        <v>23</v>
      </c>
      <c r="E16" s="200" t="s">
        <v>20</v>
      </c>
      <c r="F16" s="200" t="s">
        <v>48</v>
      </c>
      <c r="G16" s="201" t="s">
        <v>25</v>
      </c>
      <c r="H16" s="183"/>
      <c r="I16" s="195" t="s">
        <v>100</v>
      </c>
      <c r="J16" s="196" t="s">
        <v>101</v>
      </c>
      <c r="K16" s="202"/>
      <c r="L16" s="200" t="s">
        <v>26</v>
      </c>
      <c r="M16" s="200" t="s">
        <v>27</v>
      </c>
      <c r="N16" s="200" t="s">
        <v>22</v>
      </c>
      <c r="O16" s="200" t="s">
        <v>23</v>
      </c>
      <c r="P16" s="200" t="s">
        <v>20</v>
      </c>
      <c r="Q16" s="200" t="s">
        <v>48</v>
      </c>
      <c r="R16" s="201" t="s">
        <v>102</v>
      </c>
      <c r="S16" s="195" t="s">
        <v>103</v>
      </c>
      <c r="T16" s="195" t="s">
        <v>104</v>
      </c>
      <c r="U16" s="196" t="s">
        <v>105</v>
      </c>
      <c r="V16" s="199" t="s">
        <v>26</v>
      </c>
      <c r="W16" s="201" t="s">
        <v>27</v>
      </c>
      <c r="X16" s="71"/>
      <c r="Y16" s="199" t="s">
        <v>22</v>
      </c>
      <c r="Z16" s="200" t="s">
        <v>23</v>
      </c>
      <c r="AA16" s="191" t="s">
        <v>20</v>
      </c>
      <c r="AB16" s="70"/>
      <c r="AC16" s="203"/>
    </row>
    <row r="17" spans="1:29" ht="27.75" customHeight="1" thickBot="1">
      <c r="B17" s="106"/>
      <c r="C17" s="210" t="s">
        <v>546</v>
      </c>
      <c r="D17" s="204"/>
      <c r="E17" s="204"/>
      <c r="F17" s="204"/>
      <c r="G17" s="204"/>
      <c r="H17" s="204"/>
      <c r="I17" s="205">
        <v>20</v>
      </c>
      <c r="J17" s="205">
        <f>201/I17</f>
        <v>10.050000000000001</v>
      </c>
      <c r="K17" s="205" t="s">
        <v>106</v>
      </c>
      <c r="L17" s="205" t="s">
        <v>546</v>
      </c>
      <c r="M17" s="205"/>
      <c r="N17" s="205" t="s">
        <v>546</v>
      </c>
      <c r="O17" s="204"/>
      <c r="P17" s="204"/>
      <c r="Q17" s="204"/>
      <c r="R17" s="204"/>
      <c r="S17" s="205">
        <v>1</v>
      </c>
      <c r="T17" s="205">
        <v>1</v>
      </c>
      <c r="U17" s="808"/>
      <c r="V17" s="205" t="s">
        <v>546</v>
      </c>
      <c r="W17" s="205"/>
      <c r="X17" s="205"/>
      <c r="Y17" s="206" t="s">
        <v>546</v>
      </c>
      <c r="Z17" s="204"/>
      <c r="AA17" s="207"/>
      <c r="AB17" s="1085"/>
      <c r="AC17" s="1086"/>
    </row>
    <row r="18" spans="1:29" ht="27.75" customHeight="1">
      <c r="B18" s="106"/>
      <c r="C18" s="210" t="s">
        <v>546</v>
      </c>
      <c r="D18" s="119"/>
      <c r="E18" s="119"/>
      <c r="F18" s="119"/>
      <c r="G18" s="119"/>
      <c r="H18" s="119"/>
      <c r="I18" s="211">
        <v>20</v>
      </c>
      <c r="J18" s="205">
        <f>201/I18</f>
        <v>10.050000000000001</v>
      </c>
      <c r="K18" s="211" t="s">
        <v>107</v>
      </c>
      <c r="L18" s="211" t="s">
        <v>546</v>
      </c>
      <c r="M18" s="211"/>
      <c r="N18" s="211" t="s">
        <v>546</v>
      </c>
      <c r="O18" s="119"/>
      <c r="P18" s="119"/>
      <c r="Q18" s="119"/>
      <c r="R18" s="119"/>
      <c r="S18" s="119">
        <v>0</v>
      </c>
      <c r="T18" s="119"/>
      <c r="U18" s="119"/>
      <c r="V18" s="119"/>
      <c r="W18" s="119"/>
      <c r="X18" s="119"/>
      <c r="Y18" s="119"/>
      <c r="Z18" s="119"/>
      <c r="AA18" s="208"/>
      <c r="AB18" s="212"/>
      <c r="AC18" s="213"/>
    </row>
    <row r="19" spans="1:29" ht="27.75" customHeight="1" thickBot="1">
      <c r="B19" s="106"/>
      <c r="C19" s="119"/>
      <c r="D19" s="119"/>
      <c r="E19" s="119"/>
      <c r="F19" s="119"/>
      <c r="G19" s="119"/>
      <c r="H19" s="119"/>
      <c r="I19" s="211"/>
      <c r="J19" s="211"/>
      <c r="K19" s="211" t="s">
        <v>108</v>
      </c>
      <c r="L19" s="211"/>
      <c r="M19" s="211" t="s">
        <v>546</v>
      </c>
      <c r="N19" s="211"/>
      <c r="O19" s="119"/>
      <c r="P19" s="119"/>
      <c r="Q19" s="119"/>
      <c r="R19" s="119"/>
      <c r="S19" s="119"/>
      <c r="T19" s="119"/>
      <c r="U19" s="214"/>
      <c r="V19" s="214"/>
      <c r="W19" s="214"/>
      <c r="X19" s="214"/>
      <c r="Y19" s="214"/>
      <c r="Z19" s="119"/>
      <c r="AA19" s="208"/>
      <c r="AB19" s="212"/>
      <c r="AC19" s="213"/>
    </row>
    <row r="20" spans="1:29" ht="27.75" customHeight="1" thickBot="1">
      <c r="B20" s="106"/>
      <c r="C20" s="210" t="s">
        <v>546</v>
      </c>
      <c r="D20" s="214"/>
      <c r="E20" s="214"/>
      <c r="F20" s="214"/>
      <c r="G20" s="214"/>
      <c r="H20" s="214"/>
      <c r="I20" s="216">
        <v>20</v>
      </c>
      <c r="J20" s="205">
        <f t="shared" ref="J20:J25" si="0">201/I20</f>
        <v>10.050000000000001</v>
      </c>
      <c r="K20" s="216" t="s">
        <v>109</v>
      </c>
      <c r="L20" s="216" t="s">
        <v>546</v>
      </c>
      <c r="M20" s="216"/>
      <c r="N20" s="216" t="s">
        <v>546</v>
      </c>
      <c r="O20" s="214"/>
      <c r="P20" s="214"/>
      <c r="Q20" s="214"/>
      <c r="R20" s="214"/>
      <c r="S20" s="214">
        <v>1</v>
      </c>
      <c r="T20" s="217">
        <v>1</v>
      </c>
      <c r="U20" s="119"/>
      <c r="V20" s="119"/>
      <c r="W20" s="119"/>
      <c r="X20" s="119"/>
      <c r="Y20" s="119"/>
      <c r="Z20" s="218"/>
      <c r="AA20" s="217"/>
      <c r="AB20" s="208"/>
      <c r="AC20" s="209"/>
    </row>
    <row r="21" spans="1:29" ht="27.75" customHeight="1">
      <c r="B21" s="106"/>
      <c r="C21" s="210" t="s">
        <v>546</v>
      </c>
      <c r="D21" s="119"/>
      <c r="E21" s="119"/>
      <c r="F21" s="119"/>
      <c r="G21" s="119"/>
      <c r="H21" s="119"/>
      <c r="I21" s="211">
        <v>20</v>
      </c>
      <c r="J21" s="205">
        <f t="shared" si="0"/>
        <v>10.050000000000001</v>
      </c>
      <c r="K21" s="211" t="s">
        <v>110</v>
      </c>
      <c r="L21" s="211" t="s">
        <v>546</v>
      </c>
      <c r="M21" s="211"/>
      <c r="N21" s="211" t="s">
        <v>546</v>
      </c>
      <c r="O21" s="119" t="s">
        <v>558</v>
      </c>
      <c r="P21" s="119"/>
      <c r="Q21" s="119"/>
      <c r="R21" s="119"/>
      <c r="S21" s="119">
        <v>1</v>
      </c>
      <c r="T21" s="119">
        <v>1</v>
      </c>
      <c r="U21" s="119"/>
      <c r="V21" s="119" t="s">
        <v>546</v>
      </c>
      <c r="W21" s="119"/>
      <c r="X21" s="119"/>
      <c r="Y21" s="119" t="s">
        <v>546</v>
      </c>
      <c r="Z21" s="119" t="s">
        <v>558</v>
      </c>
      <c r="AA21" s="208"/>
      <c r="AB21" s="208"/>
      <c r="AC21" s="209"/>
    </row>
    <row r="22" spans="1:29" ht="27.75" customHeight="1" thickBot="1">
      <c r="B22" s="106"/>
      <c r="C22" s="210"/>
      <c r="D22" s="119"/>
      <c r="E22" s="119"/>
      <c r="F22" s="119"/>
      <c r="G22" s="119"/>
      <c r="H22" s="119"/>
      <c r="I22" s="211"/>
      <c r="J22" s="211"/>
      <c r="K22" s="219" t="s">
        <v>60</v>
      </c>
      <c r="L22" s="219"/>
      <c r="M22" s="219"/>
      <c r="N22" s="219"/>
      <c r="O22" s="220"/>
      <c r="P22" s="220"/>
      <c r="Q22" s="220"/>
      <c r="R22" s="119"/>
      <c r="S22" s="119"/>
      <c r="T22" s="119"/>
      <c r="U22" s="119"/>
      <c r="V22" s="119"/>
      <c r="W22" s="119"/>
      <c r="X22" s="119"/>
      <c r="Y22" s="119"/>
      <c r="Z22" s="119"/>
      <c r="AA22" s="208"/>
      <c r="AB22" s="208"/>
      <c r="AC22" s="209"/>
    </row>
    <row r="23" spans="1:29" ht="27.75" customHeight="1">
      <c r="B23" s="106"/>
      <c r="C23" s="210" t="s">
        <v>546</v>
      </c>
      <c r="D23" s="220"/>
      <c r="E23" s="220"/>
      <c r="F23" s="220"/>
      <c r="G23" s="220"/>
      <c r="H23" s="220"/>
      <c r="I23" s="211">
        <v>30</v>
      </c>
      <c r="J23" s="205">
        <f t="shared" si="0"/>
        <v>6.7</v>
      </c>
      <c r="K23" s="211" t="s">
        <v>111</v>
      </c>
      <c r="L23" s="211" t="s">
        <v>546</v>
      </c>
      <c r="M23" s="211" t="s">
        <v>558</v>
      </c>
      <c r="N23" s="211"/>
      <c r="O23" s="220"/>
      <c r="P23" s="220"/>
      <c r="Q23" s="220"/>
      <c r="R23" s="220"/>
      <c r="S23" s="220"/>
      <c r="T23" s="220"/>
      <c r="U23" s="220"/>
      <c r="V23" s="220"/>
      <c r="W23" s="220"/>
      <c r="X23" s="220"/>
      <c r="Y23" s="220"/>
      <c r="Z23" s="220"/>
      <c r="AA23" s="212"/>
      <c r="AB23" s="208"/>
      <c r="AC23" s="209"/>
    </row>
    <row r="24" spans="1:29" ht="27.75" customHeight="1" thickBot="1">
      <c r="B24" s="106"/>
      <c r="C24" s="210"/>
      <c r="D24" s="119"/>
      <c r="E24" s="119"/>
      <c r="F24" s="119"/>
      <c r="G24" s="119"/>
      <c r="H24" s="119"/>
      <c r="I24" s="211"/>
      <c r="J24" s="211"/>
      <c r="K24" s="211" t="s">
        <v>112</v>
      </c>
      <c r="L24" s="211"/>
      <c r="M24" s="211" t="s">
        <v>546</v>
      </c>
      <c r="N24" s="211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208"/>
      <c r="AB24" s="208"/>
      <c r="AC24" s="209"/>
    </row>
    <row r="25" spans="1:29" ht="27.75" customHeight="1">
      <c r="B25" s="106"/>
      <c r="C25" s="210" t="s">
        <v>546</v>
      </c>
      <c r="D25" s="119"/>
      <c r="E25" s="119"/>
      <c r="F25" s="119"/>
      <c r="G25" s="119"/>
      <c r="H25" s="119"/>
      <c r="I25" s="211">
        <v>30</v>
      </c>
      <c r="J25" s="205">
        <f t="shared" si="0"/>
        <v>6.7</v>
      </c>
      <c r="K25" s="211" t="s">
        <v>113</v>
      </c>
      <c r="L25" s="211" t="s">
        <v>546</v>
      </c>
      <c r="M25" s="211"/>
      <c r="N25" s="211" t="s">
        <v>546</v>
      </c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208"/>
      <c r="AB25" s="208"/>
      <c r="AC25" s="209"/>
    </row>
    <row r="26" spans="1:29" ht="27.75" customHeight="1">
      <c r="B26" s="106"/>
      <c r="C26" s="210"/>
      <c r="D26" s="119"/>
      <c r="E26" s="119"/>
      <c r="F26" s="119"/>
      <c r="G26" s="119"/>
      <c r="H26" s="119"/>
      <c r="I26" s="216"/>
      <c r="J26" s="216"/>
      <c r="K26" s="216" t="s">
        <v>114</v>
      </c>
      <c r="L26" s="216"/>
      <c r="M26" s="216" t="s">
        <v>546</v>
      </c>
      <c r="N26" s="216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208"/>
      <c r="AB26" s="208"/>
      <c r="AC26" s="209"/>
    </row>
    <row r="27" spans="1:29" ht="27.75" customHeight="1">
      <c r="B27" s="106"/>
      <c r="C27" s="215"/>
      <c r="D27" s="214"/>
      <c r="E27" s="214"/>
      <c r="F27" s="214"/>
      <c r="G27" s="214"/>
      <c r="H27" s="214"/>
      <c r="I27" s="216"/>
      <c r="J27" s="216"/>
      <c r="K27" s="216" t="s">
        <v>115</v>
      </c>
      <c r="L27" s="216"/>
      <c r="M27" s="216" t="s">
        <v>546</v>
      </c>
      <c r="N27" s="216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7"/>
      <c r="AB27" s="208"/>
      <c r="AC27" s="209"/>
    </row>
    <row r="28" spans="1:29" ht="27.75" customHeight="1">
      <c r="B28" s="106"/>
      <c r="C28" s="210"/>
      <c r="D28" s="119"/>
      <c r="E28" s="119"/>
      <c r="F28" s="119"/>
      <c r="G28" s="119"/>
      <c r="H28" s="119"/>
      <c r="I28" s="119"/>
      <c r="J28" s="119"/>
      <c r="K28" s="211" t="s">
        <v>116</v>
      </c>
      <c r="L28" s="976" t="s">
        <v>546</v>
      </c>
      <c r="M28" s="978"/>
      <c r="N28" s="976" t="s">
        <v>546</v>
      </c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208"/>
      <c r="AB28" s="208"/>
      <c r="AC28" s="209"/>
    </row>
    <row r="29" spans="1:29" ht="27.75" customHeight="1">
      <c r="B29" s="106"/>
      <c r="C29" s="210"/>
      <c r="D29" s="119"/>
      <c r="E29" s="119"/>
      <c r="F29" s="119"/>
      <c r="G29" s="119"/>
      <c r="H29" s="119"/>
      <c r="I29" s="119"/>
      <c r="J29" s="119"/>
      <c r="K29" s="211" t="s">
        <v>117</v>
      </c>
      <c r="L29" s="976" t="s">
        <v>546</v>
      </c>
      <c r="M29" s="978"/>
      <c r="N29" s="976" t="s">
        <v>546</v>
      </c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208"/>
      <c r="AB29" s="208"/>
      <c r="AC29" s="209"/>
    </row>
    <row r="30" spans="1:29" ht="27.75" customHeight="1" thickBot="1">
      <c r="B30" s="106"/>
      <c r="C30" s="221"/>
      <c r="D30" s="222"/>
      <c r="E30" s="222"/>
      <c r="F30" s="222"/>
      <c r="G30" s="222"/>
      <c r="H30" s="222"/>
      <c r="I30" s="222"/>
      <c r="J30" s="222"/>
      <c r="K30" s="223" t="s">
        <v>118</v>
      </c>
      <c r="L30" s="977" t="s">
        <v>546</v>
      </c>
      <c r="M30" s="978"/>
      <c r="N30" s="977" t="s">
        <v>546</v>
      </c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4"/>
      <c r="AB30" s="208"/>
      <c r="AC30" s="209"/>
    </row>
    <row r="31" spans="1:29" ht="6.75" customHeight="1" thickBot="1">
      <c r="A31" s="129"/>
      <c r="B31" s="129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</row>
    <row r="32" spans="1:29">
      <c r="A32" s="106"/>
      <c r="B32" s="106"/>
      <c r="C32" s="225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0"/>
      <c r="AC32" s="95"/>
    </row>
    <row r="33" spans="1:29">
      <c r="A33" s="106"/>
      <c r="B33" s="106"/>
      <c r="C33" s="132" t="s">
        <v>119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8"/>
    </row>
    <row r="34" spans="1:29">
      <c r="A34" s="106"/>
      <c r="B34" s="106"/>
      <c r="C34" s="132" t="s">
        <v>120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8"/>
    </row>
    <row r="35" spans="1:29">
      <c r="A35" s="106"/>
      <c r="B35" s="106"/>
      <c r="C35" s="132" t="s">
        <v>121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8"/>
    </row>
    <row r="36" spans="1:29">
      <c r="A36" s="106"/>
      <c r="B36" s="106"/>
      <c r="C36" s="132" t="s">
        <v>122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8"/>
    </row>
    <row r="37" spans="1:29" ht="13">
      <c r="A37" s="106"/>
      <c r="B37" s="106"/>
      <c r="C37" s="132" t="s">
        <v>123</v>
      </c>
      <c r="D37" s="106"/>
      <c r="E37" s="106"/>
      <c r="F37" s="106"/>
      <c r="G37" s="106"/>
      <c r="H37" s="106"/>
      <c r="I37" s="106"/>
      <c r="J37" s="106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 t="s">
        <v>67</v>
      </c>
      <c r="V37" s="64"/>
      <c r="W37" s="64"/>
      <c r="X37" s="64"/>
      <c r="Y37" s="106"/>
      <c r="Z37" s="106"/>
      <c r="AA37" s="106"/>
      <c r="AB37" s="106"/>
      <c r="AC37" s="108"/>
    </row>
    <row r="38" spans="1:29" ht="12.5">
      <c r="A38" s="106"/>
      <c r="B38" s="106"/>
      <c r="C38" s="132"/>
      <c r="D38" s="106"/>
      <c r="E38" s="106"/>
      <c r="F38" s="106"/>
      <c r="G38" s="106"/>
      <c r="H38" s="106"/>
      <c r="I38" s="106"/>
      <c r="J38" s="106"/>
      <c r="K38" s="3"/>
      <c r="L38" s="3"/>
      <c r="M38" s="3"/>
      <c r="N38" s="3"/>
      <c r="O38" s="3"/>
      <c r="P38" s="3"/>
      <c r="Q38" s="3"/>
      <c r="R38" s="3"/>
      <c r="S38" s="3"/>
      <c r="T38" s="3"/>
      <c r="U38" s="3" t="s">
        <v>70</v>
      </c>
      <c r="V38" s="3"/>
      <c r="W38" s="3"/>
      <c r="X38" s="3"/>
      <c r="Y38" s="106"/>
      <c r="Z38" s="106"/>
      <c r="AA38" s="106"/>
      <c r="AB38" s="106"/>
      <c r="AC38" s="108"/>
    </row>
    <row r="39" spans="1:29" ht="13">
      <c r="A39" s="106"/>
      <c r="B39" s="106"/>
      <c r="C39" s="226"/>
      <c r="D39" s="173"/>
      <c r="E39" s="173"/>
      <c r="F39" s="173"/>
      <c r="G39" s="173"/>
      <c r="H39" s="173"/>
      <c r="I39" s="173"/>
      <c r="J39" s="1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173"/>
      <c r="Z39" s="173"/>
      <c r="AA39" s="173"/>
      <c r="AB39" s="173"/>
      <c r="AC39" s="174"/>
    </row>
    <row r="40" spans="1:29">
      <c r="A40" s="106"/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</row>
    <row r="41" spans="1:29">
      <c r="A41" s="106"/>
      <c r="B41" s="106"/>
      <c r="C41" s="106" t="s">
        <v>124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</row>
    <row r="42" spans="1:29">
      <c r="A42" s="106"/>
    </row>
  </sheetData>
  <mergeCells count="8">
    <mergeCell ref="AB17:AC17"/>
    <mergeCell ref="I3:T3"/>
    <mergeCell ref="J5:T5"/>
    <mergeCell ref="I6:W6"/>
    <mergeCell ref="C14:G14"/>
    <mergeCell ref="K14:M15"/>
    <mergeCell ref="N15:R15"/>
    <mergeCell ref="AB15:AC15"/>
  </mergeCells>
  <pageMargins left="0.19685039370078741" right="0.19685039370078741" top="0.19685039370078741" bottom="0.19685039370078741" header="0.51181102362204722" footer="0.51181102362204722"/>
  <pageSetup paperSize="5" scale="75" firstPageNumber="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45D2C-430F-4101-9E95-236AFBF4F391}">
  <sheetPr>
    <tabColor rgb="FF92D050"/>
  </sheetPr>
  <dimension ref="B2:T37"/>
  <sheetViews>
    <sheetView zoomScale="75" zoomScaleNormal="75" workbookViewId="0">
      <selection activeCell="I23" sqref="I23"/>
    </sheetView>
  </sheetViews>
  <sheetFormatPr baseColWidth="10" defaultRowHeight="12.5"/>
  <cols>
    <col min="1" max="1" width="7.81640625" customWidth="1"/>
    <col min="2" max="4" width="5.7265625" customWidth="1"/>
    <col min="5" max="5" width="7" customWidth="1"/>
    <col min="6" max="6" width="25.7265625" customWidth="1"/>
    <col min="7" max="7" width="17.7265625" customWidth="1"/>
    <col min="8" max="8" width="17.1796875" customWidth="1"/>
    <col min="9" max="9" width="24.453125" customWidth="1"/>
    <col min="10" max="10" width="20.54296875" customWidth="1"/>
    <col min="11" max="11" width="36.26953125" customWidth="1"/>
    <col min="12" max="12" width="0" hidden="1" customWidth="1"/>
  </cols>
  <sheetData>
    <row r="2" spans="2:14" ht="17.5">
      <c r="D2" s="3"/>
      <c r="E2" s="227"/>
      <c r="F2" s="227"/>
      <c r="G2" s="1087" t="s">
        <v>0</v>
      </c>
      <c r="H2" s="1087"/>
      <c r="I2" s="1087"/>
      <c r="J2" s="1087"/>
      <c r="K2" s="1087"/>
    </row>
    <row r="3" spans="2:14" ht="13">
      <c r="D3" s="3"/>
      <c r="E3" s="1096"/>
      <c r="F3" s="1096"/>
      <c r="G3" s="1096"/>
      <c r="H3" s="1096"/>
      <c r="I3" s="227"/>
      <c r="J3" s="3"/>
      <c r="K3" s="3"/>
    </row>
    <row r="4" spans="2:14" ht="13">
      <c r="D4" s="3"/>
      <c r="E4" s="1096"/>
      <c r="F4" s="1096"/>
      <c r="G4" s="1096"/>
      <c r="H4" s="1096"/>
      <c r="I4" s="227"/>
      <c r="J4" s="3"/>
      <c r="K4" s="3"/>
    </row>
    <row r="5" spans="2:14" ht="15.5">
      <c r="E5" s="3"/>
      <c r="F5" s="3"/>
      <c r="G5" s="1097" t="s">
        <v>125</v>
      </c>
      <c r="H5" s="1097"/>
      <c r="I5" s="1097"/>
      <c r="J5" s="1097"/>
      <c r="K5" s="1097"/>
      <c r="L5" s="192"/>
    </row>
    <row r="6" spans="2:14" ht="15.5">
      <c r="B6" s="64"/>
      <c r="C6" s="64"/>
      <c r="D6" s="64"/>
      <c r="E6" s="64"/>
      <c r="F6" s="64"/>
      <c r="G6" s="1089" t="s">
        <v>126</v>
      </c>
      <c r="H6" s="1089"/>
      <c r="I6" s="1089"/>
      <c r="J6" s="1089"/>
      <c r="K6" s="1089"/>
      <c r="L6" s="50"/>
    </row>
    <row r="7" spans="2:14" ht="15.5">
      <c r="B7" s="64"/>
      <c r="C7" s="64"/>
      <c r="D7" s="64"/>
      <c r="E7" s="64"/>
      <c r="F7" s="64"/>
      <c r="G7" s="1098" t="s">
        <v>127</v>
      </c>
      <c r="H7" s="1098"/>
      <c r="I7" s="1098"/>
      <c r="J7" s="1098"/>
      <c r="K7" s="1098"/>
      <c r="L7" s="54"/>
    </row>
    <row r="8" spans="2:14" ht="15.5">
      <c r="B8" s="64"/>
      <c r="C8" s="64"/>
      <c r="D8" s="64"/>
      <c r="E8" s="64"/>
      <c r="F8" s="64"/>
      <c r="G8" s="176"/>
      <c r="H8" s="176"/>
      <c r="I8" s="176"/>
      <c r="J8" s="176"/>
      <c r="K8" s="176"/>
      <c r="L8" s="3"/>
    </row>
    <row r="9" spans="2:14" ht="13">
      <c r="B9" s="64"/>
      <c r="C9" s="64"/>
      <c r="D9" s="64"/>
      <c r="E9" s="64"/>
      <c r="F9" s="64"/>
      <c r="G9" s="227"/>
      <c r="H9" s="227"/>
      <c r="I9" s="227"/>
      <c r="J9" s="227"/>
      <c r="K9" s="227"/>
      <c r="L9" s="3"/>
    </row>
    <row r="10" spans="2:14" ht="13">
      <c r="B10" s="64"/>
      <c r="C10" s="64"/>
      <c r="D10" s="64"/>
      <c r="E10" s="64"/>
      <c r="F10" s="64"/>
      <c r="G10" s="227"/>
      <c r="H10" s="227"/>
      <c r="I10" s="227"/>
      <c r="J10" s="227"/>
      <c r="K10" s="227"/>
      <c r="L10" s="3"/>
    </row>
    <row r="11" spans="2:14" ht="13">
      <c r="B11" s="140" t="s">
        <v>36</v>
      </c>
      <c r="C11" s="141"/>
      <c r="D11" s="141"/>
      <c r="E11" s="141"/>
      <c r="F11" s="141"/>
      <c r="G11" s="142" t="s">
        <v>74</v>
      </c>
      <c r="H11" s="141"/>
      <c r="I11" s="1094" t="s">
        <v>572</v>
      </c>
      <c r="J11" s="1094"/>
      <c r="K11" s="144"/>
      <c r="L11" s="228"/>
    </row>
    <row r="12" spans="2:14" ht="13">
      <c r="B12" s="229" t="str">
        <f>+'CDA1'!A8</f>
        <v>INSTITUCIÓN EDUCATIVA  AGROPISCÍCOLA LAS COMPUERTAS</v>
      </c>
      <c r="C12" s="64"/>
      <c r="D12" s="64"/>
      <c r="E12" s="64"/>
      <c r="F12" s="64"/>
      <c r="G12" s="230" t="str">
        <f>+'CDA4'!L10</f>
        <v>900678838-1</v>
      </c>
      <c r="H12" s="64"/>
      <c r="I12" s="146" t="s">
        <v>495</v>
      </c>
      <c r="J12" s="147"/>
      <c r="K12" s="148" t="s">
        <v>538</v>
      </c>
      <c r="L12" s="228"/>
    </row>
    <row r="13" spans="2:14" ht="13">
      <c r="B13" s="146" t="str">
        <f>+'CDA1'!A9</f>
        <v>NOMBRE REP. LEGAL EDGARDO ESPITER LOPEZ</v>
      </c>
      <c r="C13" s="147"/>
      <c r="D13" s="147"/>
      <c r="E13" s="147"/>
      <c r="F13" s="147"/>
      <c r="G13" s="147"/>
      <c r="H13" s="147"/>
      <c r="I13" s="146" t="s">
        <v>501</v>
      </c>
      <c r="J13" s="147"/>
      <c r="K13" s="150"/>
      <c r="L13" s="231"/>
    </row>
    <row r="15" spans="2:14" ht="13">
      <c r="B15" s="1095" t="s">
        <v>10</v>
      </c>
      <c r="C15" s="1095"/>
      <c r="D15" s="1095"/>
      <c r="E15" s="1095"/>
      <c r="F15" s="142" t="s">
        <v>128</v>
      </c>
      <c r="G15" s="228"/>
      <c r="H15" s="233" t="s">
        <v>129</v>
      </c>
      <c r="I15" s="234" t="s">
        <v>130</v>
      </c>
      <c r="J15" s="234" t="s">
        <v>131</v>
      </c>
      <c r="K15" s="233" t="s">
        <v>132</v>
      </c>
      <c r="L15" s="228"/>
      <c r="M15" s="61"/>
      <c r="N15" s="235"/>
    </row>
    <row r="16" spans="2:14" ht="13">
      <c r="B16" s="229"/>
      <c r="C16" s="64"/>
      <c r="D16" s="64"/>
      <c r="E16" s="133"/>
      <c r="F16" s="230" t="s">
        <v>133</v>
      </c>
      <c r="G16" s="133" t="s">
        <v>134</v>
      </c>
      <c r="H16" s="236" t="s">
        <v>135</v>
      </c>
      <c r="I16" s="237" t="s">
        <v>136</v>
      </c>
      <c r="J16" s="237" t="s">
        <v>137</v>
      </c>
      <c r="K16" s="236" t="s">
        <v>138</v>
      </c>
      <c r="L16" s="133"/>
      <c r="M16" s="61"/>
      <c r="N16" s="235"/>
    </row>
    <row r="17" spans="2:20" ht="13">
      <c r="B17" s="238" t="s">
        <v>20</v>
      </c>
      <c r="C17" s="239" t="s">
        <v>81</v>
      </c>
      <c r="D17" s="239" t="s">
        <v>21</v>
      </c>
      <c r="E17" s="239" t="s">
        <v>139</v>
      </c>
      <c r="F17" s="240"/>
      <c r="G17" s="231"/>
      <c r="H17" s="150"/>
      <c r="I17" s="241" t="s">
        <v>140</v>
      </c>
      <c r="J17" s="241" t="s">
        <v>141</v>
      </c>
      <c r="K17" s="242" t="s">
        <v>142</v>
      </c>
      <c r="L17" s="133"/>
      <c r="M17" s="61"/>
      <c r="N17" s="235"/>
    </row>
    <row r="18" spans="2:20" ht="18.75" customHeight="1">
      <c r="B18" s="243" t="s">
        <v>546</v>
      </c>
      <c r="C18" s="244" t="s">
        <v>546</v>
      </c>
      <c r="D18" s="244"/>
      <c r="E18" s="244"/>
      <c r="F18" s="244" t="s">
        <v>143</v>
      </c>
      <c r="G18" s="244">
        <v>201</v>
      </c>
      <c r="H18" s="782">
        <f>J18/'CDA5'!G18</f>
        <v>156911.31343283583</v>
      </c>
      <c r="I18" s="784">
        <v>1</v>
      </c>
      <c r="J18" s="847">
        <v>31539174</v>
      </c>
      <c r="K18" s="783">
        <v>1</v>
      </c>
      <c r="L18" s="245"/>
      <c r="M18" s="61"/>
      <c r="N18" s="235"/>
    </row>
    <row r="19" spans="2:20" ht="18.75" customHeight="1">
      <c r="B19" s="246"/>
      <c r="C19" s="247"/>
      <c r="D19" s="247"/>
      <c r="E19" s="247"/>
      <c r="F19" s="247" t="s">
        <v>144</v>
      </c>
      <c r="G19" s="247"/>
      <c r="H19" s="247"/>
      <c r="I19" s="248"/>
      <c r="J19" s="248"/>
      <c r="K19" s="249"/>
      <c r="L19" s="250"/>
      <c r="M19" s="61"/>
      <c r="N19" s="235"/>
    </row>
    <row r="20" spans="2:20" ht="18.75" customHeight="1">
      <c r="B20" s="246"/>
      <c r="C20" s="247"/>
      <c r="D20" s="247"/>
      <c r="E20" s="247"/>
      <c r="F20" s="247" t="s">
        <v>145</v>
      </c>
      <c r="G20" s="247"/>
      <c r="H20" s="247"/>
      <c r="I20" s="248"/>
      <c r="J20" s="248"/>
      <c r="K20" s="249"/>
      <c r="L20" s="250"/>
      <c r="M20" s="61"/>
      <c r="N20" s="235"/>
    </row>
    <row r="21" spans="2:20" ht="18.75" customHeight="1">
      <c r="B21" s="246"/>
      <c r="C21" s="247"/>
      <c r="D21" s="247"/>
      <c r="E21" s="247"/>
      <c r="F21" s="247" t="s">
        <v>60</v>
      </c>
      <c r="G21" s="247">
        <v>201</v>
      </c>
      <c r="H21" s="782">
        <f>J21/'CDA5'!G21</f>
        <v>331015.55223880598</v>
      </c>
      <c r="I21" s="973">
        <f>+I18</f>
        <v>1</v>
      </c>
      <c r="J21" s="847">
        <v>66534126</v>
      </c>
      <c r="K21" s="783">
        <v>1</v>
      </c>
      <c r="L21" s="250"/>
      <c r="M21" s="61"/>
      <c r="N21" s="235"/>
    </row>
    <row r="22" spans="2:20" ht="18.75" customHeight="1">
      <c r="B22" s="246"/>
      <c r="C22" s="247"/>
      <c r="D22" s="247"/>
      <c r="E22" s="247"/>
      <c r="F22" s="247" t="s">
        <v>146</v>
      </c>
      <c r="G22" s="247"/>
      <c r="H22" s="974">
        <f>SUM(H18:H21)</f>
        <v>487926.86567164178</v>
      </c>
      <c r="I22" s="248"/>
      <c r="J22" s="974">
        <f>SUM(J18:J21)</f>
        <v>98073300</v>
      </c>
      <c r="K22" s="249"/>
      <c r="L22" s="250"/>
      <c r="M22" s="61"/>
      <c r="N22" s="235"/>
    </row>
    <row r="23" spans="2:20" ht="18.75" customHeight="1">
      <c r="B23" s="251"/>
      <c r="C23" s="119"/>
      <c r="D23" s="119"/>
      <c r="E23" s="119"/>
      <c r="F23" s="119"/>
      <c r="G23" s="119"/>
      <c r="H23" s="119"/>
      <c r="I23" s="208"/>
      <c r="J23" s="208"/>
      <c r="K23" s="252"/>
      <c r="L23" s="187"/>
      <c r="M23" s="137"/>
      <c r="N23" s="235"/>
    </row>
    <row r="24" spans="2:20" ht="18.75" customHeight="1">
      <c r="B24" s="251"/>
      <c r="C24" s="119"/>
      <c r="D24" s="119"/>
      <c r="E24" s="119"/>
      <c r="F24" s="119"/>
      <c r="G24" s="119"/>
      <c r="H24" s="119"/>
      <c r="I24" s="208"/>
      <c r="J24" s="208"/>
      <c r="K24" s="252"/>
      <c r="L24" s="187"/>
      <c r="M24" s="137"/>
      <c r="N24" s="235"/>
    </row>
    <row r="25" spans="2:20" ht="18.75" customHeight="1">
      <c r="B25" s="34"/>
      <c r="C25" s="35"/>
      <c r="D25" s="35"/>
      <c r="E25" s="35"/>
      <c r="F25" s="35"/>
      <c r="G25" s="35"/>
      <c r="H25" s="35"/>
      <c r="I25" s="36"/>
      <c r="J25" s="36"/>
      <c r="K25" s="38"/>
      <c r="L25" s="253"/>
    </row>
    <row r="26" spans="2:20" ht="18.75" customHeight="1">
      <c r="B26" s="34"/>
      <c r="C26" s="35"/>
      <c r="D26" s="35"/>
      <c r="E26" s="35"/>
      <c r="F26" s="35"/>
      <c r="G26" s="35"/>
      <c r="H26" s="35"/>
      <c r="I26" s="36"/>
      <c r="J26" s="36"/>
      <c r="K26" s="38"/>
      <c r="L26" s="253"/>
    </row>
    <row r="27" spans="2:20" ht="18.75" customHeight="1">
      <c r="B27" s="39"/>
      <c r="C27" s="40"/>
      <c r="D27" s="40"/>
      <c r="E27" s="40"/>
      <c r="F27" s="40"/>
      <c r="G27" s="40"/>
      <c r="H27" s="40"/>
      <c r="I27" s="41"/>
      <c r="J27" s="41"/>
      <c r="K27" s="43"/>
      <c r="L27" s="254"/>
    </row>
    <row r="29" spans="2:20" ht="15" customHeight="1">
      <c r="B29" s="255"/>
      <c r="C29" s="46"/>
      <c r="D29" s="46"/>
      <c r="E29" s="46"/>
      <c r="F29" s="46"/>
      <c r="G29" s="46"/>
      <c r="H29" s="46"/>
      <c r="I29" s="46"/>
      <c r="J29" s="46"/>
      <c r="K29" s="47"/>
    </row>
    <row r="30" spans="2:20" ht="15" customHeight="1">
      <c r="B30" s="48" t="s">
        <v>147</v>
      </c>
      <c r="C30" s="3"/>
      <c r="D30" s="3"/>
      <c r="E30" s="3"/>
      <c r="F30" s="3"/>
      <c r="G30" s="3"/>
      <c r="H30" s="3"/>
      <c r="I30" s="3"/>
      <c r="J30" s="3"/>
      <c r="K30" s="50"/>
    </row>
    <row r="31" spans="2:20" ht="15" customHeight="1">
      <c r="B31" s="48"/>
      <c r="C31" s="3"/>
      <c r="D31" s="3"/>
      <c r="E31" s="3"/>
      <c r="F31" s="3"/>
      <c r="G31" s="3"/>
      <c r="H31" s="3"/>
      <c r="I31" s="3"/>
      <c r="J31" s="3"/>
      <c r="K31" s="50"/>
    </row>
    <row r="32" spans="2:20" ht="15" customHeight="1">
      <c r="B32" s="132"/>
      <c r="C32" s="106"/>
      <c r="D32" s="106"/>
      <c r="E32" s="106"/>
      <c r="F32" s="106"/>
      <c r="G32" s="3"/>
      <c r="H32" s="3"/>
      <c r="I32" s="3"/>
      <c r="J32" s="3"/>
      <c r="K32" s="50"/>
      <c r="P32" s="3"/>
      <c r="Q32" s="3"/>
      <c r="R32" s="3"/>
      <c r="S32" s="3"/>
      <c r="T32" s="3"/>
    </row>
    <row r="33" spans="2:20" ht="15" customHeight="1">
      <c r="B33" s="132"/>
      <c r="C33" s="106"/>
      <c r="D33" s="106"/>
      <c r="E33" s="106"/>
      <c r="F33" s="106"/>
      <c r="G33" s="64"/>
      <c r="H33" s="64"/>
      <c r="I33" s="64"/>
      <c r="J33" s="64" t="s">
        <v>67</v>
      </c>
      <c r="K33" s="133"/>
      <c r="L33" s="64"/>
      <c r="O33" s="64"/>
      <c r="P33" s="64"/>
      <c r="Q33" s="64"/>
      <c r="R33" s="64"/>
      <c r="S33" s="64"/>
      <c r="T33" s="3"/>
    </row>
    <row r="34" spans="2:20" ht="15" customHeight="1">
      <c r="B34" s="132"/>
      <c r="C34" s="3"/>
      <c r="D34" s="3"/>
      <c r="E34" s="3"/>
      <c r="F34" s="106"/>
      <c r="G34" s="3"/>
      <c r="H34" s="3"/>
      <c r="I34" s="3"/>
      <c r="J34" s="3" t="s">
        <v>70</v>
      </c>
      <c r="K34" s="50"/>
      <c r="L34" s="3"/>
      <c r="O34" s="3"/>
      <c r="P34" s="3"/>
      <c r="Q34" s="3"/>
      <c r="R34" s="3"/>
      <c r="S34" s="3"/>
      <c r="T34" s="3"/>
    </row>
    <row r="35" spans="2:20" ht="15" customHeight="1">
      <c r="B35" s="226"/>
      <c r="C35" s="173"/>
      <c r="D35" s="173"/>
      <c r="E35" s="173"/>
      <c r="F35" s="173"/>
      <c r="G35" s="53"/>
      <c r="H35" s="53"/>
      <c r="I35" s="53"/>
      <c r="J35" s="53"/>
      <c r="K35" s="54"/>
      <c r="P35" s="3"/>
      <c r="Q35" s="3"/>
      <c r="R35" s="3"/>
      <c r="S35" s="3"/>
      <c r="T35" s="3"/>
    </row>
    <row r="36" spans="2:20" ht="15" customHeight="1">
      <c r="P36" s="3"/>
      <c r="Q36" s="3"/>
      <c r="R36" s="3"/>
      <c r="S36" s="3"/>
      <c r="T36" s="3"/>
    </row>
    <row r="37" spans="2:20" ht="15" customHeight="1">
      <c r="B37" s="59" t="s">
        <v>148</v>
      </c>
    </row>
  </sheetData>
  <mergeCells count="8">
    <mergeCell ref="I11:J11"/>
    <mergeCell ref="B15:E15"/>
    <mergeCell ref="G2:K2"/>
    <mergeCell ref="E3:H3"/>
    <mergeCell ref="E4:H4"/>
    <mergeCell ref="G5:K5"/>
    <mergeCell ref="G6:K6"/>
    <mergeCell ref="G7:K7"/>
  </mergeCells>
  <pageMargins left="0.78740157480314965" right="0.19685039370078741" top="0.59055118110236227" bottom="0.39370078740157483" header="0.51181102362204722" footer="0.51181102362204722"/>
  <pageSetup paperSize="5" scale="90" firstPageNumber="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95DF-EAB2-4DCA-B5F5-188F77801D21}">
  <sheetPr>
    <tabColor rgb="FF92D050"/>
  </sheetPr>
  <dimension ref="C1:BF54"/>
  <sheetViews>
    <sheetView zoomScale="75" zoomScaleNormal="75" workbookViewId="0">
      <selection activeCell="AV24" sqref="AV24:AW24"/>
    </sheetView>
  </sheetViews>
  <sheetFormatPr baseColWidth="10" defaultColWidth="11.453125" defaultRowHeight="12.5"/>
  <cols>
    <col min="1" max="1" width="3.453125" style="3" customWidth="1"/>
    <col min="2" max="2" width="1.1796875" style="3" customWidth="1"/>
    <col min="3" max="7" width="4.54296875" style="3" customWidth="1"/>
    <col min="8" max="8" width="4.1796875" style="3" customWidth="1"/>
    <col min="9" max="9" width="5.7265625" style="3" customWidth="1"/>
    <col min="10" max="10" width="6.81640625" style="3" customWidth="1"/>
    <col min="11" max="11" width="8.7265625" style="3" customWidth="1"/>
    <col min="12" max="12" width="9.453125" style="3" customWidth="1"/>
    <col min="13" max="18" width="4.1796875" style="3" customWidth="1"/>
    <col min="19" max="19" width="5.54296875" style="3" customWidth="1"/>
    <col min="20" max="21" width="4.1796875" style="3" customWidth="1"/>
    <col min="22" max="22" width="9.1796875" style="3" customWidth="1"/>
    <col min="23" max="23" width="7.453125" style="3" customWidth="1"/>
    <col min="24" max="24" width="9.26953125" style="3" customWidth="1"/>
    <col min="25" max="25" width="4.453125" style="3" customWidth="1"/>
    <col min="26" max="26" width="0" style="3" hidden="1" customWidth="1"/>
    <col min="27" max="27" width="4.54296875" style="3" customWidth="1"/>
    <col min="28" max="28" width="4.7265625" style="3" customWidth="1"/>
    <col min="29" max="29" width="0" style="3" hidden="1" customWidth="1"/>
    <col min="30" max="30" width="5.81640625" style="3" customWidth="1"/>
    <col min="31" max="47" width="0" style="3" hidden="1" customWidth="1"/>
    <col min="48" max="48" width="9.7265625" style="3" customWidth="1"/>
    <col min="49" max="49" width="8.54296875" style="3" customWidth="1"/>
    <col min="50" max="50" width="13" style="3" customWidth="1"/>
    <col min="51" max="51" width="18.453125" style="3" customWidth="1"/>
    <col min="52" max="56" width="0" style="3" hidden="1" customWidth="1"/>
    <col min="57" max="16384" width="11.453125" style="3"/>
  </cols>
  <sheetData>
    <row r="1" spans="3:58" ht="11.25" customHeight="1"/>
    <row r="2" spans="3:58" ht="7.5" customHeight="1"/>
    <row r="3" spans="3:58" ht="18">
      <c r="J3" s="256"/>
      <c r="K3" s="256"/>
      <c r="L3" s="257"/>
      <c r="M3" s="258" t="s">
        <v>0</v>
      </c>
      <c r="N3" s="257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7"/>
      <c r="AA3" s="257"/>
    </row>
    <row r="4" spans="3:58" ht="17.5"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257"/>
      <c r="Y4" s="257"/>
      <c r="Z4" s="257"/>
      <c r="AA4" s="257"/>
    </row>
    <row r="5" spans="3:58" ht="15.5">
      <c r="M5" s="259" t="s">
        <v>149</v>
      </c>
      <c r="N5" s="260"/>
      <c r="O5" s="260"/>
      <c r="P5" s="260"/>
      <c r="Q5" s="260"/>
      <c r="R5" s="260"/>
      <c r="S5" s="260"/>
      <c r="T5" s="260"/>
      <c r="U5" s="260"/>
      <c r="V5" s="260"/>
      <c r="W5" s="260"/>
      <c r="X5" s="260"/>
      <c r="Y5" s="261"/>
      <c r="Z5" s="261"/>
      <c r="AA5" s="261"/>
      <c r="AB5" s="261"/>
      <c r="AC5" s="262"/>
      <c r="AD5" s="263"/>
    </row>
    <row r="6" spans="3:58" ht="15.5">
      <c r="M6" s="264" t="s">
        <v>150</v>
      </c>
      <c r="N6" s="256"/>
      <c r="O6" s="256"/>
      <c r="P6" s="256"/>
      <c r="Q6" s="256"/>
      <c r="R6" s="256"/>
      <c r="S6" s="256"/>
      <c r="T6" s="256"/>
      <c r="U6" s="256"/>
      <c r="V6" s="256"/>
      <c r="W6" s="256"/>
      <c r="X6" s="256"/>
      <c r="Y6" s="265"/>
      <c r="Z6" s="265"/>
      <c r="AA6" s="265"/>
      <c r="AB6" s="265"/>
      <c r="AD6" s="50"/>
    </row>
    <row r="7" spans="3:58" ht="15.5">
      <c r="M7" s="266"/>
      <c r="N7" s="267"/>
      <c r="O7" s="267"/>
      <c r="P7" s="267"/>
      <c r="Q7" s="267"/>
      <c r="R7" s="267"/>
      <c r="S7" s="267"/>
      <c r="T7" s="267"/>
      <c r="U7" s="267"/>
      <c r="V7" s="267"/>
      <c r="W7" s="267"/>
      <c r="X7" s="267"/>
      <c r="Y7" s="267"/>
      <c r="Z7" s="267"/>
      <c r="AA7" s="267"/>
      <c r="AB7" s="267"/>
      <c r="AC7" s="53"/>
      <c r="AD7" s="54"/>
    </row>
    <row r="8" spans="3:58" ht="15.5">
      <c r="M8" s="265"/>
      <c r="N8" s="265"/>
      <c r="O8" s="265"/>
      <c r="P8" s="265"/>
      <c r="Q8" s="265"/>
      <c r="R8" s="265"/>
      <c r="S8" s="265"/>
      <c r="T8" s="265"/>
      <c r="U8" s="265"/>
      <c r="V8" s="265"/>
      <c r="W8" s="265"/>
      <c r="X8" s="265"/>
      <c r="Y8" s="265"/>
      <c r="Z8" s="265"/>
      <c r="AA8" s="265"/>
      <c r="AB8" s="265"/>
    </row>
    <row r="9" spans="3:58" ht="15.5">
      <c r="I9" s="146" t="s">
        <v>579</v>
      </c>
      <c r="J9" s="268"/>
      <c r="K9" s="268"/>
      <c r="L9" s="268"/>
      <c r="M9" s="269"/>
      <c r="N9" s="269"/>
      <c r="O9" s="269"/>
      <c r="P9" s="269"/>
      <c r="Q9" s="269"/>
      <c r="R9" s="269"/>
      <c r="S9" s="269"/>
      <c r="T9" s="269"/>
      <c r="U9" s="269"/>
      <c r="V9" s="269"/>
      <c r="W9" s="146" t="str">
        <f>+'CDA1'!A9</f>
        <v>NOMBRE REP. LEGAL EDGARDO ESPITER LOPEZ</v>
      </c>
      <c r="X9" s="269"/>
      <c r="Y9" s="269"/>
      <c r="Z9" s="269"/>
      <c r="AA9" s="269"/>
      <c r="AB9" s="269"/>
      <c r="AC9" s="268"/>
      <c r="AD9" s="268"/>
      <c r="AE9" s="268"/>
      <c r="AF9" s="268"/>
      <c r="AG9" s="268"/>
      <c r="AH9" s="268"/>
      <c r="AI9" s="268"/>
      <c r="AJ9" s="268"/>
      <c r="AK9" s="268"/>
      <c r="AL9" s="268"/>
      <c r="AM9" s="268"/>
      <c r="AN9" s="268"/>
      <c r="AO9" s="268"/>
      <c r="AP9" s="268"/>
      <c r="AQ9" s="268"/>
      <c r="AR9" s="268"/>
      <c r="AS9" s="268"/>
      <c r="AT9" s="268"/>
      <c r="AU9" s="268"/>
      <c r="AV9" s="268"/>
      <c r="AW9" s="268"/>
      <c r="AX9" s="268"/>
      <c r="AY9" s="270"/>
    </row>
    <row r="11" spans="3:58" ht="8.25" customHeight="1"/>
    <row r="12" spans="3:58" ht="14">
      <c r="C12" s="1099" t="s">
        <v>10</v>
      </c>
      <c r="D12" s="1099"/>
      <c r="E12" s="1099"/>
      <c r="F12" s="1099"/>
      <c r="G12" s="1100" t="s">
        <v>151</v>
      </c>
      <c r="H12" s="1100"/>
      <c r="I12" s="1100"/>
      <c r="J12" s="1100"/>
      <c r="K12" s="271" t="s">
        <v>152</v>
      </c>
      <c r="L12" s="272"/>
      <c r="M12" s="1100" t="s">
        <v>153</v>
      </c>
      <c r="N12" s="1100"/>
      <c r="O12" s="1100"/>
      <c r="P12" s="1100"/>
      <c r="Q12" s="1100"/>
      <c r="R12" s="1100"/>
      <c r="S12" s="1100"/>
      <c r="T12" s="1100"/>
      <c r="U12" s="1100"/>
      <c r="V12" s="273"/>
      <c r="W12" s="271" t="s">
        <v>154</v>
      </c>
      <c r="X12" s="274"/>
      <c r="Y12" s="1101" t="s">
        <v>155</v>
      </c>
      <c r="Z12" s="1101"/>
      <c r="AA12" s="1101"/>
      <c r="AB12" s="1101"/>
      <c r="AC12" s="1101"/>
      <c r="AD12" s="1101"/>
      <c r="AE12" s="275"/>
      <c r="AF12" s="275"/>
      <c r="AG12" s="276"/>
      <c r="AH12" s="275"/>
      <c r="AI12" s="275"/>
      <c r="AJ12" s="276"/>
      <c r="AK12" s="277"/>
      <c r="AL12" s="278"/>
      <c r="AM12" s="275"/>
      <c r="AN12" s="275"/>
      <c r="AO12" s="276"/>
      <c r="AP12" s="276"/>
      <c r="AQ12" s="276"/>
      <c r="AR12" s="277"/>
      <c r="AS12" s="277"/>
      <c r="AT12" s="276"/>
      <c r="AU12" s="276"/>
      <c r="AV12" s="279"/>
      <c r="AW12" s="271" t="s">
        <v>154</v>
      </c>
      <c r="AX12" s="274"/>
      <c r="AY12" s="273" t="s">
        <v>156</v>
      </c>
      <c r="AZ12" s="280"/>
      <c r="BA12" s="280"/>
      <c r="BB12" s="281"/>
      <c r="BC12" s="282"/>
      <c r="BD12" s="283"/>
    </row>
    <row r="13" spans="3:58" ht="32.25" customHeight="1">
      <c r="C13" s="1099"/>
      <c r="D13" s="1099"/>
      <c r="E13" s="1099"/>
      <c r="F13" s="1099"/>
      <c r="G13" s="1102" t="s">
        <v>157</v>
      </c>
      <c r="H13" s="1102"/>
      <c r="I13" s="1102"/>
      <c r="J13" s="1102"/>
      <c r="K13" s="285"/>
      <c r="L13" s="57" t="s">
        <v>158</v>
      </c>
      <c r="M13" s="1103" t="s">
        <v>159</v>
      </c>
      <c r="N13" s="1103"/>
      <c r="O13" s="1103"/>
      <c r="P13" s="1103"/>
      <c r="Q13" s="1103"/>
      <c r="R13" s="1103"/>
      <c r="S13" s="1103"/>
      <c r="T13" s="1103"/>
      <c r="U13" s="1103"/>
      <c r="V13" s="286" t="s">
        <v>146</v>
      </c>
      <c r="W13" s="287"/>
      <c r="X13" s="288" t="s">
        <v>160</v>
      </c>
      <c r="Y13" s="1104" t="s">
        <v>161</v>
      </c>
      <c r="Z13" s="1104"/>
      <c r="AA13" s="1104"/>
      <c r="AB13" s="1105" t="s">
        <v>162</v>
      </c>
      <c r="AC13" s="1105"/>
      <c r="AD13" s="1105"/>
      <c r="AE13" s="280"/>
      <c r="AF13" s="280"/>
      <c r="AG13" s="138"/>
      <c r="AH13" s="280"/>
      <c r="AI13" s="280"/>
      <c r="AJ13" s="281"/>
      <c r="AK13" s="282"/>
      <c r="AL13" s="283"/>
      <c r="AM13" s="280"/>
      <c r="AN13" s="280"/>
      <c r="AO13" s="138"/>
      <c r="AP13" s="281"/>
      <c r="AQ13" s="281"/>
      <c r="AR13" s="282"/>
      <c r="AS13" s="282"/>
      <c r="AT13" s="281"/>
      <c r="AU13" s="281"/>
      <c r="AV13" s="289" t="s">
        <v>146</v>
      </c>
      <c r="AW13" s="287"/>
      <c r="AX13" s="290" t="s">
        <v>163</v>
      </c>
      <c r="AY13" s="291" t="s">
        <v>140</v>
      </c>
      <c r="AZ13" s="280"/>
      <c r="BA13" s="280"/>
      <c r="BB13" s="281"/>
      <c r="BC13" s="282"/>
      <c r="BD13" s="283"/>
    </row>
    <row r="14" spans="3:58" ht="22.5" customHeight="1">
      <c r="C14" s="39" t="s">
        <v>20</v>
      </c>
      <c r="D14" s="40" t="s">
        <v>81</v>
      </c>
      <c r="E14" s="40" t="s">
        <v>21</v>
      </c>
      <c r="F14" s="43" t="s">
        <v>164</v>
      </c>
      <c r="G14" s="293" t="s">
        <v>165</v>
      </c>
      <c r="H14" s="294" t="s">
        <v>166</v>
      </c>
      <c r="I14" s="294" t="s">
        <v>551</v>
      </c>
      <c r="J14" s="295" t="s">
        <v>146</v>
      </c>
      <c r="K14" s="296"/>
      <c r="L14" s="297" t="s">
        <v>167</v>
      </c>
      <c r="M14" s="298">
        <v>1</v>
      </c>
      <c r="N14" s="299">
        <v>2</v>
      </c>
      <c r="O14" s="299">
        <v>3</v>
      </c>
      <c r="P14" s="299">
        <v>4</v>
      </c>
      <c r="Q14" s="299">
        <v>5</v>
      </c>
      <c r="R14" s="299">
        <v>6</v>
      </c>
      <c r="S14" s="299">
        <v>7</v>
      </c>
      <c r="T14" s="299">
        <v>8</v>
      </c>
      <c r="U14" s="300">
        <v>9</v>
      </c>
      <c r="V14" s="301"/>
      <c r="W14" s="296"/>
      <c r="X14" s="302" t="s">
        <v>168</v>
      </c>
      <c r="Y14" s="1108" t="s">
        <v>169</v>
      </c>
      <c r="Z14" s="1108"/>
      <c r="AA14" s="1108"/>
      <c r="AB14" s="1105" t="s">
        <v>169</v>
      </c>
      <c r="AC14" s="1105"/>
      <c r="AD14" s="1105"/>
      <c r="AE14" s="10"/>
      <c r="AF14" s="10"/>
      <c r="AG14" s="56"/>
      <c r="AH14" s="10"/>
      <c r="AI14" s="10"/>
      <c r="AJ14" s="56"/>
      <c r="AL14" s="303"/>
      <c r="AM14" s="10"/>
      <c r="AN14" s="10"/>
      <c r="AO14" s="56"/>
      <c r="AP14" s="56"/>
      <c r="AQ14" s="56"/>
      <c r="AT14" s="56"/>
      <c r="AU14" s="56"/>
      <c r="AV14" s="17"/>
      <c r="AW14" s="296"/>
      <c r="AX14" s="302" t="s">
        <v>168</v>
      </c>
      <c r="AY14" s="304" t="s">
        <v>170</v>
      </c>
      <c r="AZ14" s="10"/>
      <c r="BA14" s="10"/>
      <c r="BB14" s="56"/>
      <c r="BD14" s="303"/>
    </row>
    <row r="15" spans="3:58">
      <c r="C15" s="306" t="s">
        <v>546</v>
      </c>
      <c r="D15" s="164"/>
      <c r="E15" s="164"/>
      <c r="F15" s="164"/>
      <c r="G15" s="164">
        <v>0</v>
      </c>
      <c r="H15" s="164">
        <v>12</v>
      </c>
      <c r="I15" s="164">
        <v>12</v>
      </c>
      <c r="J15" s="164">
        <v>24</v>
      </c>
      <c r="K15" s="164">
        <v>2</v>
      </c>
      <c r="L15" s="971">
        <f>+J15*K15</f>
        <v>48</v>
      </c>
      <c r="M15" s="164" t="s">
        <v>546</v>
      </c>
      <c r="N15" s="164"/>
      <c r="O15" s="164"/>
      <c r="P15" s="164"/>
      <c r="Q15" s="164"/>
      <c r="R15" s="164"/>
      <c r="S15" s="164"/>
      <c r="T15" s="164"/>
      <c r="U15" s="164"/>
      <c r="V15" s="164">
        <v>25</v>
      </c>
      <c r="W15" s="307">
        <v>1</v>
      </c>
      <c r="X15" s="972">
        <f>+V15/W15</f>
        <v>25</v>
      </c>
      <c r="Y15" s="164"/>
      <c r="Z15" s="164"/>
      <c r="AA15" s="164"/>
      <c r="AB15" s="164" t="s">
        <v>546</v>
      </c>
      <c r="AC15" s="164"/>
      <c r="AD15" s="164"/>
      <c r="AV15" s="307">
        <v>10</v>
      </c>
      <c r="AW15" s="307">
        <v>6</v>
      </c>
      <c r="AX15" s="972">
        <f>+AV15/AW15</f>
        <v>1.6666666666666667</v>
      </c>
      <c r="AY15" s="165">
        <v>201</v>
      </c>
    </row>
    <row r="16" spans="3:58">
      <c r="C16" s="34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 t="s">
        <v>546</v>
      </c>
      <c r="O16" s="35"/>
      <c r="P16" s="35"/>
      <c r="Q16" s="35"/>
      <c r="R16" s="35"/>
      <c r="S16" s="35"/>
      <c r="T16" s="35"/>
      <c r="U16" s="35"/>
      <c r="V16" s="35">
        <v>24</v>
      </c>
      <c r="W16" s="36">
        <v>2</v>
      </c>
      <c r="X16" s="972">
        <f t="shared" ref="X16:X23" si="0">+V16/W16</f>
        <v>12</v>
      </c>
      <c r="Y16" s="35"/>
      <c r="Z16" s="35"/>
      <c r="AA16" s="35"/>
      <c r="AB16" s="35"/>
      <c r="AC16" s="35"/>
      <c r="AD16" s="35"/>
      <c r="AV16" s="36"/>
      <c r="AW16" s="36"/>
      <c r="AX16" s="36"/>
      <c r="AY16" s="38"/>
      <c r="BF16" s="943"/>
    </row>
    <row r="17" spans="3:58">
      <c r="C17" s="34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 t="s">
        <v>546</v>
      </c>
      <c r="P17" s="35"/>
      <c r="Q17" s="35"/>
      <c r="R17" s="35"/>
      <c r="S17" s="35"/>
      <c r="T17" s="35"/>
      <c r="U17" s="35"/>
      <c r="V17" s="35">
        <v>27</v>
      </c>
      <c r="W17" s="36">
        <v>2</v>
      </c>
      <c r="X17" s="972">
        <f t="shared" si="0"/>
        <v>13.5</v>
      </c>
      <c r="Y17" s="35"/>
      <c r="Z17" s="35"/>
      <c r="AA17" s="35"/>
      <c r="AB17" s="35"/>
      <c r="AC17" s="35"/>
      <c r="AD17" s="35"/>
      <c r="AV17" s="36"/>
      <c r="AW17" s="36"/>
      <c r="AX17" s="36"/>
      <c r="AY17" s="38"/>
      <c r="BF17" s="943"/>
    </row>
    <row r="18" spans="3:58">
      <c r="C18" s="34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 t="s">
        <v>546</v>
      </c>
      <c r="Q18" s="35"/>
      <c r="R18" s="35"/>
      <c r="S18" s="35"/>
      <c r="T18" s="35"/>
      <c r="U18" s="35"/>
      <c r="V18" s="35">
        <v>17</v>
      </c>
      <c r="W18" s="36">
        <v>1</v>
      </c>
      <c r="X18" s="972">
        <f t="shared" si="0"/>
        <v>17</v>
      </c>
      <c r="Y18" s="35"/>
      <c r="Z18" s="35"/>
      <c r="AA18" s="35"/>
      <c r="AB18" s="35"/>
      <c r="AC18" s="35"/>
      <c r="AD18" s="35"/>
      <c r="AV18" s="36"/>
      <c r="AW18" s="36"/>
      <c r="AX18" s="36"/>
      <c r="AY18" s="38"/>
      <c r="BF18" s="943"/>
    </row>
    <row r="19" spans="3:58">
      <c r="C19" s="308"/>
      <c r="D19" s="309"/>
      <c r="E19" s="309"/>
      <c r="F19" s="309"/>
      <c r="G19" s="309"/>
      <c r="H19" s="309"/>
      <c r="I19" s="309"/>
      <c r="J19" s="309"/>
      <c r="K19" s="309"/>
      <c r="L19" s="309"/>
      <c r="M19" s="309"/>
      <c r="N19" s="309"/>
      <c r="O19" s="309"/>
      <c r="P19" s="309"/>
      <c r="Q19" s="309" t="s">
        <v>546</v>
      </c>
      <c r="R19" s="309"/>
      <c r="S19" s="309"/>
      <c r="T19" s="309"/>
      <c r="U19" s="309"/>
      <c r="V19" s="309">
        <v>14</v>
      </c>
      <c r="W19" s="310">
        <v>1</v>
      </c>
      <c r="X19" s="972">
        <f t="shared" si="0"/>
        <v>14</v>
      </c>
      <c r="Y19" s="35"/>
      <c r="Z19" s="35"/>
      <c r="AA19" s="35"/>
      <c r="AB19" s="35"/>
      <c r="AC19" s="35"/>
      <c r="AD19" s="35"/>
      <c r="AV19" s="310"/>
      <c r="AW19" s="310"/>
      <c r="AX19" s="310"/>
      <c r="AY19" s="38"/>
      <c r="BF19" s="943"/>
    </row>
    <row r="20" spans="3:58">
      <c r="C20" s="308"/>
      <c r="D20" s="309"/>
      <c r="E20" s="309"/>
      <c r="F20" s="309"/>
      <c r="G20" s="309"/>
      <c r="H20" s="106"/>
      <c r="I20" s="309"/>
      <c r="J20" s="309"/>
      <c r="K20" s="309"/>
      <c r="L20" s="309"/>
      <c r="M20" s="309"/>
      <c r="N20" s="309"/>
      <c r="O20" s="309"/>
      <c r="P20" s="309"/>
      <c r="Q20" s="309"/>
      <c r="R20" s="309" t="s">
        <v>546</v>
      </c>
      <c r="S20" s="309"/>
      <c r="T20" s="309"/>
      <c r="U20" s="309"/>
      <c r="V20" s="309">
        <v>17</v>
      </c>
      <c r="W20" s="309">
        <v>6</v>
      </c>
      <c r="X20" s="972">
        <f t="shared" si="0"/>
        <v>2.8333333333333335</v>
      </c>
      <c r="Y20" s="309"/>
      <c r="Z20" s="309"/>
      <c r="AA20" s="309"/>
      <c r="AB20" s="309"/>
      <c r="AC20" s="309"/>
      <c r="AD20" s="309"/>
      <c r="AV20" s="310"/>
      <c r="AW20" s="309"/>
      <c r="AX20" s="310"/>
      <c r="AY20" s="311"/>
      <c r="BF20" s="943"/>
    </row>
    <row r="21" spans="3:58"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 t="s">
        <v>546</v>
      </c>
      <c r="T21" s="35"/>
      <c r="U21" s="35"/>
      <c r="V21" s="35">
        <v>17</v>
      </c>
      <c r="W21" s="35">
        <v>6</v>
      </c>
      <c r="X21" s="972">
        <f t="shared" si="0"/>
        <v>2.8333333333333335</v>
      </c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8"/>
    </row>
    <row r="22" spans="3:58" ht="21.75" customHeight="1"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 t="s">
        <v>546</v>
      </c>
      <c r="U22" s="35"/>
      <c r="V22" s="35">
        <v>12</v>
      </c>
      <c r="W22" s="35">
        <v>6</v>
      </c>
      <c r="X22" s="972">
        <f t="shared" si="0"/>
        <v>2</v>
      </c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8"/>
    </row>
    <row r="23" spans="3:58" ht="14">
      <c r="C23" s="312"/>
      <c r="D23" s="313"/>
      <c r="E23" s="313"/>
      <c r="F23" s="313"/>
      <c r="G23" s="313"/>
      <c r="H23" s="313"/>
      <c r="I23" s="314"/>
      <c r="J23" s="314"/>
      <c r="K23" s="314"/>
      <c r="L23" s="314"/>
      <c r="M23" s="313"/>
      <c r="N23" s="313"/>
      <c r="O23" s="313"/>
      <c r="P23" s="313"/>
      <c r="Q23" s="313"/>
      <c r="R23" s="313"/>
      <c r="S23" s="313"/>
      <c r="T23" s="313"/>
      <c r="U23" s="313" t="s">
        <v>546</v>
      </c>
      <c r="V23" s="313">
        <v>14</v>
      </c>
      <c r="W23" s="863">
        <v>6</v>
      </c>
      <c r="X23" s="972">
        <f t="shared" si="0"/>
        <v>2.3333333333333335</v>
      </c>
      <c r="Y23" s="314"/>
      <c r="Z23" s="314"/>
      <c r="AA23" s="313"/>
      <c r="AB23" s="315"/>
      <c r="AC23" s="315"/>
      <c r="AD23" s="316"/>
      <c r="AE23" s="316"/>
      <c r="AF23" s="316"/>
      <c r="AG23" s="316"/>
      <c r="AH23" s="316"/>
      <c r="AI23" s="313"/>
      <c r="AJ23" s="40"/>
      <c r="AK23" s="40"/>
      <c r="AL23" s="40"/>
      <c r="AM23" s="317"/>
      <c r="AN23" s="317"/>
      <c r="AO23" s="318"/>
      <c r="AP23" s="318"/>
      <c r="AQ23" s="40"/>
      <c r="AR23" s="40"/>
      <c r="AS23" s="40"/>
      <c r="AT23" s="40"/>
      <c r="AU23" s="40"/>
      <c r="AV23" s="40"/>
      <c r="AW23" s="40"/>
      <c r="AX23" s="40"/>
      <c r="AY23" s="43"/>
    </row>
    <row r="24" spans="3:58" ht="14">
      <c r="C24" s="1109"/>
      <c r="D24" s="1109"/>
      <c r="E24" s="1109"/>
      <c r="F24" s="1109"/>
      <c r="G24" s="1109"/>
      <c r="H24" s="1109"/>
      <c r="I24" s="1109"/>
      <c r="J24" s="284"/>
      <c r="K24" s="320"/>
      <c r="L24" s="292"/>
      <c r="M24" s="56"/>
      <c r="V24" s="321"/>
      <c r="W24" s="321"/>
      <c r="X24" s="321"/>
      <c r="Y24" s="321"/>
      <c r="Z24" s="56"/>
      <c r="AA24" s="56"/>
      <c r="AV24" s="1107"/>
      <c r="AW24" s="1107"/>
      <c r="AX24" s="305"/>
      <c r="AY24" s="50"/>
    </row>
    <row r="25" spans="3:58" ht="15.5">
      <c r="C25" s="48"/>
      <c r="D25" s="256" t="s">
        <v>171</v>
      </c>
      <c r="E25" s="256"/>
      <c r="F25" s="256"/>
      <c r="G25" s="256"/>
      <c r="H25" s="256"/>
      <c r="I25" s="256"/>
      <c r="J25" s="256"/>
      <c r="K25" s="256"/>
      <c r="AY25" s="50"/>
    </row>
    <row r="26" spans="3:58">
      <c r="C26" s="48"/>
      <c r="AY26" s="50"/>
    </row>
    <row r="27" spans="3:58" ht="14">
      <c r="C27" s="322"/>
      <c r="D27" s="282"/>
      <c r="E27" s="282"/>
      <c r="F27" s="282"/>
      <c r="G27" s="282"/>
      <c r="H27" s="282"/>
      <c r="I27" s="282"/>
      <c r="J27" s="282"/>
      <c r="K27" s="282"/>
      <c r="L27" s="282"/>
      <c r="AY27" s="50"/>
    </row>
    <row r="28" spans="3:58" ht="14">
      <c r="C28" s="1106" t="s">
        <v>172</v>
      </c>
      <c r="D28" s="1106"/>
      <c r="E28" s="1106"/>
      <c r="F28" s="1106"/>
      <c r="G28" s="1106"/>
      <c r="H28" s="1106"/>
      <c r="I28" s="1106"/>
      <c r="J28" s="1106"/>
      <c r="K28" s="1106"/>
      <c r="L28" s="1106"/>
      <c r="O28" s="3" t="s">
        <v>173</v>
      </c>
      <c r="Q28" s="56"/>
      <c r="R28" s="56"/>
      <c r="S28" s="56"/>
      <c r="T28" s="56"/>
      <c r="U28" s="56"/>
      <c r="V28" s="1107"/>
      <c r="W28" s="1107"/>
      <c r="X28" s="1107"/>
      <c r="Y28" s="1107"/>
      <c r="Z28" s="1107"/>
      <c r="AA28" s="1107"/>
      <c r="AV28" s="1107"/>
      <c r="AW28" s="1107"/>
      <c r="AX28" s="1107"/>
      <c r="AY28" s="50"/>
    </row>
    <row r="29" spans="3:58" ht="14">
      <c r="C29" s="1106" t="s">
        <v>174</v>
      </c>
      <c r="D29" s="1106"/>
      <c r="E29" s="1106"/>
      <c r="F29" s="1106"/>
      <c r="G29" s="1106"/>
      <c r="H29" s="1106"/>
      <c r="I29" s="1106"/>
      <c r="J29" s="1106"/>
      <c r="K29" s="1106"/>
      <c r="L29" s="1106"/>
      <c r="Q29" s="281" t="s">
        <v>175</v>
      </c>
      <c r="R29" s="281"/>
      <c r="S29" s="281"/>
      <c r="T29" s="281"/>
      <c r="U29" s="281"/>
      <c r="V29" s="281"/>
      <c r="W29" s="56"/>
      <c r="X29" s="56"/>
      <c r="Y29" s="56"/>
      <c r="Z29" s="56"/>
      <c r="AA29" s="56"/>
      <c r="AV29" s="1080" t="s">
        <v>176</v>
      </c>
      <c r="AW29" s="1080"/>
      <c r="AX29" s="1080"/>
      <c r="AY29" s="50"/>
    </row>
    <row r="30" spans="3:58">
      <c r="C30" s="48"/>
      <c r="F30" s="323"/>
      <c r="G30" s="323"/>
      <c r="H30" s="323"/>
      <c r="AY30" s="50"/>
    </row>
    <row r="31" spans="3:58" ht="14">
      <c r="C31" s="1081" t="s">
        <v>172</v>
      </c>
      <c r="D31" s="1081"/>
      <c r="E31" s="1081"/>
      <c r="F31" s="1081"/>
      <c r="G31" s="1081"/>
      <c r="H31" s="1081"/>
      <c r="I31" s="1081"/>
      <c r="J31" s="324"/>
      <c r="K31" s="274" t="s">
        <v>152</v>
      </c>
      <c r="L31" s="272"/>
      <c r="M31" s="56"/>
      <c r="Q31" s="255" t="s">
        <v>177</v>
      </c>
      <c r="R31" s="46"/>
      <c r="S31" s="47"/>
      <c r="T31" s="255" t="s">
        <v>177</v>
      </c>
      <c r="U31" s="325"/>
      <c r="V31" s="326"/>
      <c r="W31" s="321"/>
      <c r="X31" s="321"/>
      <c r="Y31" s="1107"/>
      <c r="Z31" s="1107"/>
      <c r="AV31" s="1110" t="s">
        <v>177</v>
      </c>
      <c r="AW31" s="1110"/>
      <c r="AX31" s="327"/>
      <c r="AY31" s="50"/>
    </row>
    <row r="32" spans="3:58" ht="14">
      <c r="C32" s="1111" t="s">
        <v>174</v>
      </c>
      <c r="D32" s="1111"/>
      <c r="E32" s="1111"/>
      <c r="F32" s="1111"/>
      <c r="G32" s="1111"/>
      <c r="H32" s="1111"/>
      <c r="I32" s="1111"/>
      <c r="J32" s="329" t="s">
        <v>146</v>
      </c>
      <c r="K32" s="320"/>
      <c r="L32" s="57" t="s">
        <v>158</v>
      </c>
      <c r="M32" s="56"/>
      <c r="Q32" s="48" t="s">
        <v>140</v>
      </c>
      <c r="S32" s="50"/>
      <c r="T32" s="48" t="s">
        <v>178</v>
      </c>
      <c r="U32" s="321"/>
      <c r="V32" s="330"/>
      <c r="W32" s="321"/>
      <c r="X32" s="321"/>
      <c r="Y32" s="1107"/>
      <c r="Z32" s="1107"/>
      <c r="AA32" s="305"/>
      <c r="AV32" s="1112" t="s">
        <v>140</v>
      </c>
      <c r="AW32" s="1112"/>
      <c r="AX32" s="332" t="s">
        <v>179</v>
      </c>
      <c r="AY32" s="50"/>
    </row>
    <row r="33" spans="3:51" ht="13">
      <c r="C33" s="333" t="s">
        <v>180</v>
      </c>
      <c r="D33" s="20" t="s">
        <v>181</v>
      </c>
      <c r="E33" s="21" t="s">
        <v>182</v>
      </c>
      <c r="F33" s="334" t="s">
        <v>183</v>
      </c>
      <c r="G33" s="334"/>
      <c r="H33" s="334" t="s">
        <v>184</v>
      </c>
      <c r="I33" s="335" t="s">
        <v>185</v>
      </c>
      <c r="J33" s="336"/>
      <c r="K33" s="337"/>
      <c r="L33" s="297" t="s">
        <v>167</v>
      </c>
      <c r="M33" s="56"/>
      <c r="Q33" s="48" t="s">
        <v>186</v>
      </c>
      <c r="S33" s="50"/>
      <c r="T33" s="48" t="s">
        <v>187</v>
      </c>
      <c r="U33" s="321"/>
      <c r="V33" s="330"/>
      <c r="W33" s="321"/>
      <c r="X33" s="321"/>
      <c r="Y33" s="328"/>
      <c r="Z33" s="25"/>
      <c r="AA33" s="305"/>
      <c r="AV33" s="338" t="s">
        <v>188</v>
      </c>
      <c r="AW33" s="339" t="s">
        <v>189</v>
      </c>
      <c r="AX33" s="340" t="s">
        <v>190</v>
      </c>
      <c r="AY33" s="50"/>
    </row>
    <row r="34" spans="3:51">
      <c r="C34" s="341"/>
      <c r="D34" s="342"/>
      <c r="E34" s="342"/>
      <c r="F34" s="342"/>
      <c r="G34" s="343"/>
      <c r="H34" s="342"/>
      <c r="I34" s="344"/>
      <c r="J34" s="254"/>
      <c r="K34" s="164"/>
      <c r="L34" s="165"/>
      <c r="Q34" s="341"/>
      <c r="S34" s="344"/>
      <c r="T34" s="342"/>
      <c r="U34" s="342"/>
      <c r="V34" s="344"/>
      <c r="AV34" s="306"/>
      <c r="AW34" s="164"/>
      <c r="AX34" s="165"/>
      <c r="AY34" s="50"/>
    </row>
    <row r="35" spans="3:51">
      <c r="C35" s="345"/>
      <c r="D35" s="346"/>
      <c r="E35" s="346"/>
      <c r="F35" s="346"/>
      <c r="G35" s="346"/>
      <c r="H35" s="346"/>
      <c r="I35" s="347"/>
      <c r="J35" s="37"/>
      <c r="K35" s="35"/>
      <c r="L35" s="38"/>
      <c r="Q35" s="345"/>
      <c r="R35" s="346"/>
      <c r="S35" s="347"/>
      <c r="T35" s="345"/>
      <c r="U35" s="346"/>
      <c r="V35" s="347"/>
      <c r="AV35" s="34"/>
      <c r="AW35" s="35"/>
      <c r="AX35" s="38"/>
      <c r="AY35" s="50"/>
    </row>
    <row r="36" spans="3:51">
      <c r="C36" s="345"/>
      <c r="D36" s="346"/>
      <c r="E36" s="346"/>
      <c r="F36" s="346"/>
      <c r="G36" s="346"/>
      <c r="H36" s="346"/>
      <c r="I36" s="347"/>
      <c r="J36" s="37"/>
      <c r="K36" s="35"/>
      <c r="L36" s="38"/>
      <c r="Q36" s="345"/>
      <c r="R36" s="346"/>
      <c r="S36" s="347"/>
      <c r="T36" s="345"/>
      <c r="U36" s="346"/>
      <c r="V36" s="347"/>
      <c r="AV36" s="34"/>
      <c r="AW36" s="35"/>
      <c r="AX36" s="38"/>
      <c r="AY36" s="50"/>
    </row>
    <row r="37" spans="3:51">
      <c r="C37" s="348"/>
      <c r="D37" s="349"/>
      <c r="E37" s="349"/>
      <c r="F37" s="349"/>
      <c r="G37" s="349"/>
      <c r="H37" s="346"/>
      <c r="I37" s="347"/>
      <c r="J37" s="37"/>
      <c r="K37" s="35"/>
      <c r="L37" s="38"/>
      <c r="Q37" s="345"/>
      <c r="R37" s="346"/>
      <c r="S37" s="347"/>
      <c r="T37" s="345"/>
      <c r="U37" s="346"/>
      <c r="V37" s="347"/>
      <c r="AV37" s="34"/>
      <c r="AW37" s="35"/>
      <c r="AX37" s="38"/>
      <c r="AY37" s="50"/>
    </row>
    <row r="38" spans="3:51">
      <c r="C38" s="350"/>
      <c r="D38" s="351"/>
      <c r="E38" s="351"/>
      <c r="F38" s="351"/>
      <c r="G38" s="351"/>
      <c r="H38" s="352"/>
      <c r="I38" s="347"/>
      <c r="J38" s="37"/>
      <c r="K38" s="309"/>
      <c r="L38" s="311"/>
      <c r="Q38" s="345"/>
      <c r="R38" s="346"/>
      <c r="S38" s="347"/>
      <c r="T38" s="345"/>
      <c r="U38" s="346"/>
      <c r="V38" s="347"/>
      <c r="AV38" s="34"/>
      <c r="AW38" s="35"/>
      <c r="AX38" s="38"/>
      <c r="AY38" s="50"/>
    </row>
    <row r="39" spans="3:51">
      <c r="C39" s="348"/>
      <c r="D39" s="349"/>
      <c r="E39" s="349"/>
      <c r="F39" s="349"/>
      <c r="G39" s="349"/>
      <c r="H39" s="346"/>
      <c r="I39" s="347"/>
      <c r="J39" s="37"/>
      <c r="K39" s="35"/>
      <c r="L39" s="38"/>
      <c r="Q39" s="345"/>
      <c r="R39" s="346"/>
      <c r="S39" s="347"/>
      <c r="T39" s="345"/>
      <c r="U39" s="346"/>
      <c r="V39" s="347"/>
      <c r="AV39" s="34"/>
      <c r="AW39" s="35"/>
      <c r="AX39" s="38"/>
      <c r="AY39" s="50"/>
    </row>
    <row r="40" spans="3:51">
      <c r="C40" s="350"/>
      <c r="D40" s="351"/>
      <c r="E40" s="351"/>
      <c r="F40" s="351"/>
      <c r="G40" s="351"/>
      <c r="H40" s="352"/>
      <c r="I40" s="353"/>
      <c r="J40" s="254"/>
      <c r="K40" s="35"/>
      <c r="L40" s="38"/>
      <c r="Q40" s="345"/>
      <c r="R40" s="346"/>
      <c r="S40" s="347"/>
      <c r="T40" s="345"/>
      <c r="U40" s="346"/>
      <c r="V40" s="347"/>
      <c r="AV40" s="34"/>
      <c r="AW40" s="35"/>
      <c r="AX40" s="38"/>
      <c r="AY40" s="50"/>
    </row>
    <row r="41" spans="3:51">
      <c r="C41" s="354"/>
      <c r="D41" s="355"/>
      <c r="E41" s="355"/>
      <c r="F41" s="355"/>
      <c r="G41" s="355"/>
      <c r="H41" s="356"/>
      <c r="I41" s="357"/>
      <c r="J41" s="42"/>
      <c r="K41" s="40"/>
      <c r="L41" s="43"/>
      <c r="Q41" s="51"/>
      <c r="R41" s="53"/>
      <c r="S41" s="54"/>
      <c r="T41" s="51"/>
      <c r="U41" s="53"/>
      <c r="V41" s="54"/>
      <c r="AV41" s="39"/>
      <c r="AW41" s="40"/>
      <c r="AX41" s="43"/>
      <c r="AY41" s="50"/>
    </row>
    <row r="42" spans="3:51">
      <c r="C42" s="51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4"/>
    </row>
    <row r="43" spans="3:51">
      <c r="C43" s="106"/>
      <c r="D43" s="106"/>
      <c r="E43" s="106"/>
      <c r="F43" s="106"/>
      <c r="G43" s="106"/>
    </row>
    <row r="44" spans="3:51">
      <c r="C44" s="225"/>
      <c r="D44" s="90"/>
      <c r="E44" s="90"/>
      <c r="F44" s="90"/>
      <c r="G44" s="90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7"/>
    </row>
    <row r="45" spans="3:51">
      <c r="C45" s="132" t="s">
        <v>191</v>
      </c>
      <c r="D45" s="106"/>
      <c r="E45" s="106"/>
      <c r="F45" s="106"/>
      <c r="G45" s="106"/>
      <c r="AY45" s="50"/>
    </row>
    <row r="46" spans="3:51">
      <c r="C46" s="132" t="s">
        <v>192</v>
      </c>
      <c r="D46" s="106"/>
      <c r="E46" s="106"/>
      <c r="F46" s="106"/>
      <c r="G46" s="106"/>
      <c r="AY46" s="50"/>
    </row>
    <row r="47" spans="3:51" s="56" customFormat="1" ht="17.25" customHeight="1">
      <c r="C47" s="358"/>
      <c r="I47" s="56" t="s">
        <v>193</v>
      </c>
      <c r="X47" s="56" t="s">
        <v>194</v>
      </c>
      <c r="AY47" s="359"/>
    </row>
    <row r="48" spans="3:51" s="56" customFormat="1" ht="13">
      <c r="C48" s="358"/>
      <c r="I48" s="56" t="s">
        <v>69</v>
      </c>
      <c r="X48" s="56" t="s">
        <v>70</v>
      </c>
      <c r="AY48" s="359"/>
    </row>
    <row r="49" spans="3:51" s="56" customFormat="1" ht="13">
      <c r="C49" s="358"/>
      <c r="AY49" s="359"/>
    </row>
    <row r="50" spans="3:51">
      <c r="C50" s="51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4"/>
    </row>
    <row r="52" spans="3:51" ht="13">
      <c r="C52" s="56" t="s">
        <v>195</v>
      </c>
    </row>
    <row r="54" spans="3:51">
      <c r="C54" s="106"/>
      <c r="D54" s="106"/>
      <c r="E54" s="106"/>
      <c r="F54" s="106"/>
      <c r="G54" s="106"/>
    </row>
  </sheetData>
  <mergeCells count="23">
    <mergeCell ref="C31:I31"/>
    <mergeCell ref="Y31:Z31"/>
    <mergeCell ref="AV31:AW31"/>
    <mergeCell ref="C32:I32"/>
    <mergeCell ref="Y32:Z32"/>
    <mergeCell ref="AV32:AW32"/>
    <mergeCell ref="C28:L28"/>
    <mergeCell ref="V28:AA28"/>
    <mergeCell ref="AV28:AX28"/>
    <mergeCell ref="C29:L29"/>
    <mergeCell ref="AV29:AX29"/>
    <mergeCell ref="Y14:AA14"/>
    <mergeCell ref="AB14:AD14"/>
    <mergeCell ref="C24:I24"/>
    <mergeCell ref="AV24:AW24"/>
    <mergeCell ref="C12:F13"/>
    <mergeCell ref="G12:J12"/>
    <mergeCell ref="M12:U12"/>
    <mergeCell ref="Y12:AD12"/>
    <mergeCell ref="G13:J13"/>
    <mergeCell ref="M13:U13"/>
    <mergeCell ref="Y13:AA13"/>
    <mergeCell ref="AB13:AD13"/>
  </mergeCells>
  <pageMargins left="0.98425196850393704" right="0.19685039370078741" top="0.39370078740157483" bottom="0.39370078740157483" header="0.51181102362204722" footer="0.51181102362204722"/>
  <pageSetup paperSize="5" scale="75" firstPageNumber="0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B637-67CA-40A5-809A-728AC68F783E}">
  <sheetPr>
    <tabColor rgb="FF92D050"/>
  </sheetPr>
  <dimension ref="A3:G40"/>
  <sheetViews>
    <sheetView zoomScale="75" zoomScaleNormal="75" workbookViewId="0">
      <selection activeCell="B16" sqref="B16"/>
    </sheetView>
  </sheetViews>
  <sheetFormatPr baseColWidth="10" defaultColWidth="11.54296875" defaultRowHeight="12.5"/>
  <cols>
    <col min="1" max="1" width="58.81640625" style="360" customWidth="1"/>
    <col min="2" max="2" width="29.7265625" style="360" customWidth="1"/>
    <col min="3" max="3" width="29" style="360" customWidth="1"/>
    <col min="4" max="4" width="40.54296875" style="360" customWidth="1"/>
    <col min="5" max="5" width="0" style="360" hidden="1" customWidth="1"/>
    <col min="6" max="6" width="21.453125" style="360" customWidth="1"/>
    <col min="7" max="16384" width="11.54296875" style="360"/>
  </cols>
  <sheetData>
    <row r="3" spans="1:7" ht="18">
      <c r="A3" s="361"/>
      <c r="B3" s="362" t="s">
        <v>196</v>
      </c>
      <c r="C3" s="363"/>
      <c r="D3" s="363"/>
      <c r="E3" s="364"/>
      <c r="F3" s="364"/>
      <c r="G3" s="365"/>
    </row>
    <row r="4" spans="1:7" ht="14">
      <c r="A4" s="364"/>
      <c r="B4" s="364"/>
      <c r="C4" s="366"/>
      <c r="D4" s="364"/>
      <c r="E4" s="367"/>
      <c r="F4" s="368"/>
      <c r="G4" s="368"/>
    </row>
    <row r="5" spans="1:7" ht="15.5">
      <c r="A5" s="365"/>
      <c r="B5" s="369"/>
      <c r="C5" s="370" t="s">
        <v>1</v>
      </c>
      <c r="D5" s="371"/>
      <c r="E5" s="372"/>
      <c r="F5" s="373"/>
      <c r="G5" s="374"/>
    </row>
    <row r="6" spans="1:7" ht="15.5">
      <c r="A6" s="374"/>
      <c r="B6" s="376"/>
      <c r="C6" s="377" t="s">
        <v>197</v>
      </c>
      <c r="D6" s="378"/>
      <c r="E6" s="365"/>
      <c r="F6" s="365"/>
      <c r="G6" s="374"/>
    </row>
    <row r="7" spans="1:7" ht="15.5">
      <c r="A7" s="374"/>
      <c r="B7" s="379"/>
      <c r="C7" s="380"/>
      <c r="D7" s="380"/>
      <c r="E7" s="365"/>
      <c r="F7" s="365"/>
      <c r="G7" s="374"/>
    </row>
    <row r="8" spans="1:7" ht="15.5">
      <c r="A8" s="374"/>
      <c r="B8" s="379"/>
      <c r="C8" s="380"/>
      <c r="D8" s="380"/>
      <c r="E8" s="365"/>
      <c r="F8" s="365"/>
      <c r="G8" s="374"/>
    </row>
    <row r="9" spans="1:7" ht="15.5">
      <c r="A9" s="374"/>
      <c r="B9" s="379"/>
      <c r="C9" s="380"/>
      <c r="D9" s="380"/>
      <c r="E9" s="365"/>
      <c r="F9" s="365"/>
      <c r="G9" s="374"/>
    </row>
    <row r="10" spans="1:7" ht="18" customHeight="1">
      <c r="A10" s="374"/>
      <c r="B10" s="381"/>
      <c r="C10" s="382"/>
      <c r="D10" s="382"/>
      <c r="E10" s="365"/>
      <c r="F10" s="382"/>
      <c r="G10" s="365"/>
    </row>
    <row r="11" spans="1:7" ht="17.25" customHeight="1">
      <c r="A11" s="383" t="s">
        <v>36</v>
      </c>
      <c r="B11" s="384" t="s">
        <v>74</v>
      </c>
      <c r="C11" s="1113" t="s">
        <v>570</v>
      </c>
      <c r="D11" s="1113"/>
      <c r="E11" s="381"/>
      <c r="F11" s="383" t="s">
        <v>502</v>
      </c>
      <c r="G11" s="382"/>
    </row>
    <row r="12" spans="1:7" ht="13.5">
      <c r="A12" s="385" t="str">
        <f>+'CDA3'!B14</f>
        <v>INSTITUCIÓN EDUCATIVA  AGROPISCÍCOLA LAS COMPUERTAS</v>
      </c>
      <c r="B12" s="386" t="str">
        <f>+'CDA4'!L10</f>
        <v>900678838-1</v>
      </c>
      <c r="C12" s="381"/>
      <c r="D12" s="381"/>
      <c r="E12" s="381"/>
      <c r="F12" s="387"/>
      <c r="G12" s="382"/>
    </row>
    <row r="13" spans="1:7" ht="13.5">
      <c r="A13" s="388" t="str">
        <f>+'CDA1'!A9</f>
        <v>NOMBRE REP. LEGAL EDGARDO ESPITER LOPEZ</v>
      </c>
      <c r="B13" s="384"/>
      <c r="C13" s="389" t="s">
        <v>490</v>
      </c>
      <c r="D13" s="389" t="s">
        <v>501</v>
      </c>
      <c r="E13" s="381"/>
      <c r="F13" s="385"/>
      <c r="G13" s="382"/>
    </row>
    <row r="14" spans="1:7" ht="16.899999999999999" customHeight="1">
      <c r="A14" s="390"/>
      <c r="B14" s="391"/>
      <c r="C14" s="392"/>
      <c r="D14" s="393"/>
      <c r="E14" s="394"/>
      <c r="F14" s="395"/>
    </row>
    <row r="15" spans="1:7" ht="19.149999999999999" customHeight="1">
      <c r="A15" s="396" t="s">
        <v>198</v>
      </c>
      <c r="B15" s="397" t="s">
        <v>199</v>
      </c>
      <c r="C15" s="398"/>
      <c r="D15" s="399" t="s">
        <v>200</v>
      </c>
      <c r="E15" s="400"/>
      <c r="F15" s="384"/>
    </row>
    <row r="16" spans="1:7" ht="19.149999999999999" customHeight="1">
      <c r="A16" s="832" t="s">
        <v>580</v>
      </c>
      <c r="B16" s="402" t="s">
        <v>581</v>
      </c>
      <c r="C16" s="403"/>
      <c r="D16" s="395"/>
      <c r="E16" s="395"/>
      <c r="F16" s="386"/>
    </row>
    <row r="17" spans="1:7" ht="19.899999999999999" customHeight="1">
      <c r="A17" s="404" t="s">
        <v>561</v>
      </c>
      <c r="B17" s="405" t="s">
        <v>203</v>
      </c>
      <c r="C17" s="405" t="s">
        <v>204</v>
      </c>
      <c r="D17" s="395"/>
      <c r="E17" s="381"/>
      <c r="F17" s="386"/>
    </row>
    <row r="18" spans="1:7" ht="19.899999999999999" customHeight="1">
      <c r="A18" s="404" t="s">
        <v>562</v>
      </c>
      <c r="B18" s="406" t="s">
        <v>563</v>
      </c>
      <c r="C18" s="407"/>
      <c r="D18" s="381"/>
      <c r="E18" s="381"/>
      <c r="F18" s="386"/>
    </row>
    <row r="19" spans="1:7" ht="19.899999999999999" customHeight="1" thickBot="1">
      <c r="A19" s="408" t="s">
        <v>547</v>
      </c>
      <c r="B19" s="409" t="s">
        <v>208</v>
      </c>
      <c r="C19" s="785">
        <v>27800000</v>
      </c>
      <c r="D19" s="389"/>
      <c r="E19" s="389"/>
      <c r="F19" s="411"/>
    </row>
    <row r="20" spans="1:7" ht="16.5" customHeight="1" thickBot="1">
      <c r="A20" s="412"/>
      <c r="B20" s="379"/>
      <c r="C20" s="413"/>
      <c r="D20" s="379"/>
      <c r="E20" s="379"/>
      <c r="F20" s="414"/>
      <c r="G20" s="415"/>
    </row>
    <row r="21" spans="1:7" ht="19.899999999999999" customHeight="1">
      <c r="A21" s="416" t="s">
        <v>198</v>
      </c>
      <c r="B21" s="417" t="s">
        <v>199</v>
      </c>
      <c r="C21" s="398"/>
      <c r="D21" s="399" t="s">
        <v>200</v>
      </c>
      <c r="E21" s="418"/>
      <c r="F21" s="384"/>
    </row>
    <row r="22" spans="1:7" ht="15" customHeight="1">
      <c r="A22" s="844"/>
      <c r="B22" s="402" t="s">
        <v>564</v>
      </c>
      <c r="C22" s="403"/>
      <c r="D22" s="395"/>
      <c r="E22" s="381"/>
      <c r="F22" s="386"/>
    </row>
    <row r="23" spans="1:7" ht="19.899999999999999" customHeight="1">
      <c r="A23" s="404" t="s">
        <v>559</v>
      </c>
      <c r="B23" s="405" t="s">
        <v>203</v>
      </c>
      <c r="C23" s="405" t="s">
        <v>204</v>
      </c>
      <c r="D23" s="395"/>
      <c r="E23" s="381"/>
      <c r="F23" s="386"/>
    </row>
    <row r="24" spans="1:7" ht="19.899999999999999" customHeight="1">
      <c r="A24" s="404" t="s">
        <v>560</v>
      </c>
      <c r="B24" s="406" t="s">
        <v>554</v>
      </c>
      <c r="C24" s="407"/>
      <c r="D24" s="381"/>
      <c r="E24" s="381"/>
      <c r="F24" s="386"/>
    </row>
    <row r="25" spans="1:7" ht="19.899999999999999" customHeight="1">
      <c r="A25" s="408" t="s">
        <v>547</v>
      </c>
      <c r="B25" s="409" t="s">
        <v>208</v>
      </c>
      <c r="C25" s="785" t="s">
        <v>558</v>
      </c>
      <c r="D25" s="389"/>
      <c r="E25" s="389"/>
      <c r="F25" s="411"/>
    </row>
    <row r="26" spans="1:7" ht="12" customHeight="1">
      <c r="A26" s="412"/>
      <c r="B26" s="379"/>
      <c r="C26" s="413"/>
      <c r="D26" s="379"/>
      <c r="E26" s="379"/>
      <c r="F26" s="414"/>
    </row>
    <row r="27" spans="1:7" ht="19.899999999999999" customHeight="1">
      <c r="A27" s="416" t="s">
        <v>198</v>
      </c>
      <c r="B27" s="417" t="s">
        <v>199</v>
      </c>
      <c r="C27" s="398"/>
      <c r="D27" s="399" t="s">
        <v>200</v>
      </c>
      <c r="E27" s="418"/>
      <c r="F27" s="384"/>
    </row>
    <row r="28" spans="1:7" ht="16.5" customHeight="1">
      <c r="A28" s="401"/>
      <c r="B28" s="402" t="s">
        <v>201</v>
      </c>
      <c r="C28" s="403"/>
      <c r="D28" s="395"/>
      <c r="E28" s="381"/>
      <c r="F28" s="386"/>
      <c r="G28" s="375"/>
    </row>
    <row r="29" spans="1:7" ht="19.899999999999999" customHeight="1">
      <c r="A29" s="419" t="s">
        <v>202</v>
      </c>
      <c r="B29" s="405" t="s">
        <v>203</v>
      </c>
      <c r="C29" s="405" t="s">
        <v>204</v>
      </c>
      <c r="D29" s="395"/>
      <c r="E29" s="381"/>
      <c r="F29" s="386"/>
      <c r="G29" s="375"/>
    </row>
    <row r="30" spans="1:7" ht="18.75" customHeight="1">
      <c r="A30" s="404" t="s">
        <v>205</v>
      </c>
      <c r="B30" s="406" t="s">
        <v>206</v>
      </c>
      <c r="C30" s="407"/>
      <c r="D30" s="381"/>
      <c r="E30" s="381"/>
      <c r="F30" s="386"/>
    </row>
    <row r="31" spans="1:7" ht="19.899999999999999" customHeight="1">
      <c r="A31" s="408" t="s">
        <v>207</v>
      </c>
      <c r="B31" s="409" t="s">
        <v>208</v>
      </c>
      <c r="C31" s="410"/>
      <c r="D31" s="389"/>
      <c r="E31" s="389"/>
      <c r="F31" s="411"/>
    </row>
    <row r="32" spans="1:7" ht="13">
      <c r="A32" s="388" t="s">
        <v>209</v>
      </c>
      <c r="B32" s="381"/>
      <c r="C32" s="381"/>
      <c r="D32" s="395"/>
      <c r="E32" s="381"/>
      <c r="F32" s="386"/>
    </row>
    <row r="33" spans="1:6" ht="13">
      <c r="A33" s="388"/>
      <c r="B33" s="381"/>
      <c r="C33" s="381"/>
      <c r="D33" s="395"/>
      <c r="E33" s="381"/>
      <c r="F33" s="386"/>
    </row>
    <row r="34" spans="1:6" ht="13">
      <c r="A34" s="388" t="s">
        <v>210</v>
      </c>
      <c r="B34" s="381"/>
      <c r="C34" s="381"/>
      <c r="E34" s="420"/>
      <c r="F34" s="386"/>
    </row>
    <row r="35" spans="1:6" ht="13">
      <c r="A35" s="388"/>
      <c r="B35" s="381"/>
      <c r="C35" s="381"/>
      <c r="D35" s="395" t="s">
        <v>211</v>
      </c>
      <c r="E35" s="420"/>
      <c r="F35" s="386"/>
    </row>
    <row r="36" spans="1:6" ht="13">
      <c r="A36" s="412"/>
      <c r="B36" s="379"/>
      <c r="C36" s="379"/>
      <c r="D36" s="395" t="s">
        <v>32</v>
      </c>
      <c r="E36" s="394"/>
      <c r="F36" s="414"/>
    </row>
    <row r="37" spans="1:6" ht="13">
      <c r="A37" s="388"/>
      <c r="B37" s="420"/>
      <c r="C37" s="420"/>
      <c r="D37" s="421"/>
      <c r="E37" s="420"/>
      <c r="F37" s="414"/>
    </row>
    <row r="38" spans="1:6">
      <c r="A38" s="390"/>
      <c r="B38" s="422"/>
      <c r="C38" s="422"/>
      <c r="D38" s="423"/>
      <c r="E38" s="394"/>
      <c r="F38" s="391"/>
    </row>
    <row r="40" spans="1:6" ht="13">
      <c r="A40" s="420" t="s">
        <v>212</v>
      </c>
    </row>
  </sheetData>
  <mergeCells count="1">
    <mergeCell ref="C11:D11"/>
  </mergeCells>
  <pageMargins left="0.98425196850393704" right="0.19685039370078741" top="0.39370078740157483" bottom="0.59055118110236227" header="0.51181102362204722" footer="0.51181102362204722"/>
  <pageSetup paperSize="5" scale="80" firstPageNumber="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FEBDA-11E3-426E-9D5C-3FA2589FA986}">
  <sheetPr>
    <tabColor rgb="FF92D050"/>
  </sheetPr>
  <dimension ref="A1:R60"/>
  <sheetViews>
    <sheetView zoomScale="70" zoomScaleNormal="70" workbookViewId="0">
      <selection activeCell="G17" sqref="G17"/>
    </sheetView>
  </sheetViews>
  <sheetFormatPr baseColWidth="10" defaultRowHeight="12.5"/>
  <cols>
    <col min="1" max="1" width="26.7265625" customWidth="1"/>
    <col min="2" max="2" width="17.1796875" customWidth="1"/>
    <col min="3" max="3" width="15.54296875" customWidth="1"/>
    <col min="4" max="4" width="21.26953125" customWidth="1"/>
    <col min="5" max="5" width="19.7265625" customWidth="1"/>
    <col min="6" max="6" width="18.54296875" customWidth="1"/>
    <col min="7" max="7" width="19.7265625" customWidth="1"/>
    <col min="8" max="8" width="18.7265625" customWidth="1"/>
    <col min="9" max="9" width="18.1796875" customWidth="1"/>
    <col min="10" max="10" width="15.54296875" customWidth="1"/>
    <col min="13" max="13" width="11.453125" customWidth="1"/>
  </cols>
  <sheetData>
    <row r="1" spans="1:10" ht="18">
      <c r="A1" s="60"/>
      <c r="B1" s="60"/>
      <c r="C1" s="424" t="s">
        <v>196</v>
      </c>
      <c r="D1" s="425"/>
      <c r="E1" s="425"/>
      <c r="F1" s="425"/>
      <c r="G1" s="425"/>
      <c r="H1" s="425"/>
      <c r="I1" s="425"/>
      <c r="J1" s="426"/>
    </row>
    <row r="2" spans="1:10" ht="14">
      <c r="A2" s="427"/>
      <c r="B2" s="427"/>
      <c r="C2" s="425"/>
      <c r="D2" s="428"/>
      <c r="E2" s="425"/>
      <c r="F2" s="429"/>
      <c r="G2" s="430"/>
      <c r="H2" s="281"/>
      <c r="I2" s="281"/>
      <c r="J2" s="427"/>
    </row>
    <row r="3" spans="1:10" ht="15.5">
      <c r="A3" s="65"/>
      <c r="B3" s="60"/>
      <c r="C3" s="431"/>
      <c r="D3" s="432"/>
      <c r="E3" s="433" t="s">
        <v>1</v>
      </c>
      <c r="F3" s="278"/>
      <c r="G3" s="434"/>
      <c r="H3" s="281"/>
      <c r="I3" s="281"/>
      <c r="J3" s="65"/>
    </row>
    <row r="4" spans="1:10" ht="15.5">
      <c r="A4" s="63"/>
      <c r="B4" s="60"/>
      <c r="C4" s="435"/>
      <c r="D4" s="436"/>
      <c r="E4" s="437" t="s">
        <v>213</v>
      </c>
      <c r="F4" s="438"/>
      <c r="G4" s="439"/>
      <c r="H4" s="282"/>
      <c r="I4" s="282"/>
      <c r="J4" s="65"/>
    </row>
    <row r="5" spans="1:10" ht="15.5">
      <c r="A5" s="63"/>
      <c r="B5" s="60"/>
      <c r="C5" s="284"/>
      <c r="D5" s="284"/>
      <c r="E5" s="5"/>
      <c r="F5" s="282"/>
      <c r="G5" s="282"/>
      <c r="H5" s="282"/>
      <c r="I5" s="282"/>
      <c r="J5" s="65"/>
    </row>
    <row r="6" spans="1:10" ht="15.5">
      <c r="A6" s="63"/>
      <c r="B6" s="60"/>
      <c r="C6" s="284"/>
      <c r="D6" s="284"/>
      <c r="E6" s="5"/>
      <c r="F6" s="282"/>
      <c r="G6" s="282"/>
      <c r="H6" s="282"/>
      <c r="I6" s="282"/>
      <c r="J6" s="65"/>
    </row>
    <row r="7" spans="1:10" ht="28.5" customHeight="1">
      <c r="A7" s="77"/>
      <c r="B7" s="65"/>
      <c r="C7" s="65"/>
      <c r="D7" s="65"/>
      <c r="E7" s="65"/>
      <c r="F7" s="65"/>
      <c r="G7" s="65"/>
      <c r="H7" s="65"/>
      <c r="I7" s="65"/>
      <c r="J7" s="65"/>
    </row>
    <row r="8" spans="1:10" ht="28.5" customHeight="1">
      <c r="A8" s="63"/>
      <c r="B8" s="65"/>
      <c r="C8" s="65"/>
      <c r="D8" s="65"/>
      <c r="E8" s="65"/>
      <c r="F8" s="65"/>
      <c r="G8" s="65"/>
      <c r="H8" s="65"/>
      <c r="I8" s="65"/>
      <c r="J8" s="65"/>
    </row>
    <row r="9" spans="1:10" ht="13">
      <c r="A9" s="8" t="s">
        <v>36</v>
      </c>
      <c r="B9" s="12"/>
      <c r="C9" s="12"/>
      <c r="D9" s="8" t="s">
        <v>74</v>
      </c>
      <c r="E9" s="13"/>
      <c r="F9" s="15"/>
      <c r="G9" s="15"/>
      <c r="H9" s="15"/>
      <c r="I9" s="8"/>
      <c r="J9" s="13"/>
    </row>
    <row r="10" spans="1:10" ht="13">
      <c r="A10" s="358" t="str">
        <f>+'CDA1'!A8</f>
        <v>INSTITUCIÓN EDUCATIVA  AGROPISCÍCOLA LAS COMPUERTAS</v>
      </c>
      <c r="B10" s="56"/>
      <c r="C10" s="56"/>
      <c r="D10" s="358" t="str">
        <f>+'CDA1'!I7</f>
        <v>900678838-1</v>
      </c>
      <c r="E10" s="359"/>
      <c r="F10" s="12" t="s">
        <v>571</v>
      </c>
      <c r="G10" s="12"/>
      <c r="H10" s="12"/>
      <c r="I10" s="358" t="s">
        <v>505</v>
      </c>
      <c r="J10" s="359"/>
    </row>
    <row r="11" spans="1:10" ht="13">
      <c r="A11" s="8" t="str">
        <f>+'CDA1'!A9</f>
        <v>NOMBRE REP. LEGAL EDGARDO ESPITER LOPEZ</v>
      </c>
      <c r="B11" s="12"/>
      <c r="C11" s="12"/>
      <c r="D11" s="12"/>
      <c r="E11" s="13"/>
      <c r="F11" s="18" t="s">
        <v>503</v>
      </c>
      <c r="G11" s="440" t="s">
        <v>6</v>
      </c>
      <c r="H11" s="441" t="s">
        <v>504</v>
      </c>
      <c r="I11" s="17"/>
      <c r="J11" s="19"/>
    </row>
    <row r="12" spans="1:10" ht="14">
      <c r="A12" s="442"/>
      <c r="B12" s="438"/>
      <c r="C12" s="438"/>
      <c r="D12" s="438"/>
      <c r="E12" s="439"/>
      <c r="F12" s="443"/>
      <c r="G12" s="443"/>
      <c r="H12" s="443"/>
      <c r="I12" s="443"/>
      <c r="J12" s="443"/>
    </row>
    <row r="13" spans="1:10" ht="13">
      <c r="A13" s="331" t="s">
        <v>214</v>
      </c>
      <c r="B13" s="444" t="s">
        <v>215</v>
      </c>
      <c r="C13" s="445" t="s">
        <v>216</v>
      </c>
      <c r="D13" s="445" t="s">
        <v>217</v>
      </c>
      <c r="E13" s="445" t="s">
        <v>218</v>
      </c>
      <c r="F13" s="446" t="s">
        <v>219</v>
      </c>
      <c r="G13" s="447" t="s">
        <v>220</v>
      </c>
      <c r="H13" s="448" t="s">
        <v>221</v>
      </c>
      <c r="I13" s="447" t="s">
        <v>222</v>
      </c>
      <c r="J13" s="448" t="s">
        <v>221</v>
      </c>
    </row>
    <row r="14" spans="1:10" ht="13">
      <c r="A14" s="449" t="s">
        <v>223</v>
      </c>
      <c r="B14" s="450" t="s">
        <v>224</v>
      </c>
      <c r="C14" s="451" t="s">
        <v>225</v>
      </c>
      <c r="D14" s="451" t="s">
        <v>226</v>
      </c>
      <c r="E14" s="451"/>
      <c r="F14" s="445" t="s">
        <v>227</v>
      </c>
      <c r="G14" s="451" t="s">
        <v>227</v>
      </c>
      <c r="H14" s="452" t="s">
        <v>228</v>
      </c>
      <c r="I14" s="450" t="s">
        <v>229</v>
      </c>
      <c r="J14" s="452" t="s">
        <v>230</v>
      </c>
    </row>
    <row r="15" spans="1:10" ht="42">
      <c r="A15" s="453" t="s">
        <v>583</v>
      </c>
      <c r="B15" s="809">
        <v>11100501</v>
      </c>
      <c r="C15" s="454">
        <v>12016746116</v>
      </c>
      <c r="D15" s="866" t="s">
        <v>582</v>
      </c>
      <c r="E15" s="455">
        <v>1391627</v>
      </c>
      <c r="F15" s="845">
        <v>169442564</v>
      </c>
      <c r="G15" s="827">
        <v>170758035</v>
      </c>
      <c r="H15" s="826">
        <f>+E15+F15-G15</f>
        <v>76156</v>
      </c>
      <c r="I15" s="826">
        <f t="shared" ref="I15:J17" si="0">+H15</f>
        <v>76156</v>
      </c>
      <c r="J15" s="970">
        <f t="shared" si="0"/>
        <v>76156</v>
      </c>
    </row>
    <row r="16" spans="1:10" ht="28">
      <c r="A16" s="453" t="s">
        <v>583</v>
      </c>
      <c r="B16" s="809">
        <v>11100602</v>
      </c>
      <c r="C16" s="454">
        <v>12027295443</v>
      </c>
      <c r="D16" s="866" t="s">
        <v>584</v>
      </c>
      <c r="E16" s="455">
        <v>0</v>
      </c>
      <c r="F16" s="846">
        <v>4020145</v>
      </c>
      <c r="G16" s="827">
        <v>3960286</v>
      </c>
      <c r="H16" s="826">
        <f>+E16+F16-G16</f>
        <v>59859</v>
      </c>
      <c r="I16" s="826">
        <f t="shared" si="0"/>
        <v>59859</v>
      </c>
      <c r="J16" s="970">
        <f t="shared" si="0"/>
        <v>59859</v>
      </c>
    </row>
    <row r="17" spans="1:18" ht="42">
      <c r="A17" s="453" t="s">
        <v>506</v>
      </c>
      <c r="B17" s="809">
        <v>11100603</v>
      </c>
      <c r="C17" s="809">
        <v>47493327921</v>
      </c>
      <c r="D17" s="866" t="s">
        <v>585</v>
      </c>
      <c r="E17" s="455">
        <v>2016</v>
      </c>
      <c r="F17" s="846">
        <v>4714015</v>
      </c>
      <c r="G17" s="827">
        <v>4696000</v>
      </c>
      <c r="H17" s="826">
        <f>+E17+F17-G17</f>
        <v>20031</v>
      </c>
      <c r="I17" s="826">
        <f t="shared" si="0"/>
        <v>20031</v>
      </c>
      <c r="J17" s="970">
        <f t="shared" si="0"/>
        <v>20031</v>
      </c>
    </row>
    <row r="18" spans="1:18" ht="14">
      <c r="A18" s="453"/>
      <c r="B18" s="809"/>
      <c r="C18" s="809"/>
      <c r="D18" s="866"/>
      <c r="E18" s="455"/>
      <c r="F18" s="827"/>
      <c r="G18" s="827"/>
      <c r="H18" s="826"/>
      <c r="I18" s="826"/>
      <c r="J18" s="455"/>
    </row>
    <row r="19" spans="1:18" ht="14.5" thickBot="1">
      <c r="A19" s="463" t="s">
        <v>231</v>
      </c>
      <c r="B19" s="313"/>
      <c r="C19" s="313"/>
      <c r="D19" s="313"/>
      <c r="E19" s="867">
        <f t="shared" ref="E19:J19" si="1">SUM(E15:E18)</f>
        <v>1393643</v>
      </c>
      <c r="F19" s="867">
        <f t="shared" si="1"/>
        <v>178176724</v>
      </c>
      <c r="G19" s="867">
        <f t="shared" si="1"/>
        <v>179414321</v>
      </c>
      <c r="H19" s="867">
        <f t="shared" si="1"/>
        <v>156046</v>
      </c>
      <c r="I19" s="867">
        <f t="shared" si="1"/>
        <v>156046</v>
      </c>
      <c r="J19" s="867">
        <f t="shared" si="1"/>
        <v>156046</v>
      </c>
    </row>
    <row r="20" spans="1:18" ht="14">
      <c r="A20" s="465"/>
      <c r="B20" s="425"/>
      <c r="C20" s="425"/>
      <c r="D20" s="425"/>
      <c r="E20" s="425"/>
      <c r="F20" s="425"/>
      <c r="G20" s="425"/>
      <c r="H20" s="425"/>
      <c r="I20" s="425"/>
      <c r="J20" s="466"/>
    </row>
    <row r="21" spans="1:18" ht="14">
      <c r="A21" s="157" t="s">
        <v>232</v>
      </c>
      <c r="B21" s="281"/>
      <c r="C21" s="281"/>
      <c r="D21" s="281"/>
      <c r="E21" s="281"/>
      <c r="F21" s="282"/>
      <c r="G21" s="282"/>
      <c r="H21" s="868"/>
      <c r="I21" s="282"/>
      <c r="J21" s="329"/>
    </row>
    <row r="22" spans="1:18" ht="14">
      <c r="A22" s="322"/>
      <c r="B22" s="425"/>
      <c r="C22" s="425"/>
      <c r="D22" s="425"/>
      <c r="E22" s="425"/>
      <c r="F22" s="425"/>
      <c r="G22" s="425"/>
      <c r="H22" s="425"/>
      <c r="I22" s="425"/>
      <c r="J22" s="329"/>
    </row>
    <row r="23" spans="1:18" ht="14">
      <c r="A23" s="322"/>
      <c r="B23" s="425"/>
      <c r="C23" s="425"/>
      <c r="D23" s="425"/>
      <c r="E23" s="425"/>
      <c r="F23" s="425"/>
      <c r="G23" s="425"/>
      <c r="H23" s="425"/>
      <c r="I23" s="425"/>
      <c r="J23" s="329"/>
    </row>
    <row r="24" spans="1:18" ht="14">
      <c r="B24" s="59"/>
      <c r="C24" s="429"/>
      <c r="D24" s="429"/>
      <c r="E24" s="429"/>
      <c r="F24" s="429"/>
      <c r="G24" s="59"/>
      <c r="H24" s="59"/>
      <c r="I24" s="59"/>
      <c r="J24" s="359"/>
    </row>
    <row r="25" spans="1:18" ht="14">
      <c r="A25" s="467" t="s">
        <v>233</v>
      </c>
      <c r="B25" s="59"/>
      <c r="C25" s="429"/>
      <c r="D25" s="429"/>
      <c r="E25" s="59"/>
      <c r="F25" s="429"/>
      <c r="G25" s="59"/>
      <c r="H25" s="59"/>
      <c r="I25" s="59"/>
      <c r="J25" s="359"/>
    </row>
    <row r="26" spans="1:18" ht="15" customHeight="1">
      <c r="A26" s="467" t="s">
        <v>32</v>
      </c>
      <c r="J26" s="50"/>
    </row>
    <row r="27" spans="1:18" ht="15" customHeight="1" thickBot="1">
      <c r="A27" s="51"/>
      <c r="B27" s="53"/>
      <c r="C27" s="53"/>
      <c r="D27" s="53"/>
      <c r="E27" s="53"/>
      <c r="F27" s="53"/>
      <c r="G27" s="53"/>
      <c r="H27" s="53"/>
      <c r="I27" s="53"/>
      <c r="J27" s="54"/>
    </row>
    <row r="28" spans="1:18" ht="15" customHeight="1">
      <c r="K28" s="3"/>
      <c r="L28" s="3"/>
      <c r="M28" s="3"/>
      <c r="N28" s="3"/>
      <c r="O28" s="3"/>
      <c r="P28" s="3"/>
      <c r="Q28" s="3"/>
      <c r="R28" s="3"/>
    </row>
    <row r="29" spans="1:18" ht="15" customHeight="1">
      <c r="A29" s="59" t="s">
        <v>234</v>
      </c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ht="15" customHeight="1"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ht="15" customHeight="1"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ht="15" customHeight="1"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9:18" ht="15" customHeight="1"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pans="9:18" ht="15" customHeight="1">
      <c r="K34" s="3"/>
      <c r="L34" s="3"/>
      <c r="M34" s="3"/>
      <c r="N34" s="3"/>
      <c r="O34" s="3"/>
      <c r="P34" s="3"/>
      <c r="Q34" s="3"/>
      <c r="R34" s="3"/>
    </row>
    <row r="35" spans="9:18" ht="15" customHeight="1">
      <c r="K35" s="3"/>
      <c r="L35" s="3"/>
      <c r="M35" s="3"/>
      <c r="N35" s="3"/>
      <c r="O35" s="3"/>
      <c r="P35" s="3"/>
      <c r="Q35" s="3"/>
      <c r="R35" s="3"/>
    </row>
    <row r="36" spans="9:18" ht="15" customHeight="1">
      <c r="K36" s="3"/>
      <c r="L36" s="3"/>
      <c r="M36" s="3"/>
      <c r="N36" s="3"/>
      <c r="O36" s="3"/>
      <c r="P36" s="3"/>
      <c r="Q36" s="3"/>
      <c r="R36" s="3"/>
    </row>
    <row r="37" spans="9:18" ht="15" customHeight="1">
      <c r="K37" s="3"/>
      <c r="L37" s="3"/>
      <c r="M37" s="3"/>
      <c r="N37" s="3"/>
      <c r="O37" s="3"/>
      <c r="P37" s="3"/>
      <c r="Q37" s="3"/>
      <c r="R37" s="3"/>
    </row>
    <row r="38" spans="9:18" ht="15" customHeight="1">
      <c r="K38" s="3"/>
      <c r="L38" s="3"/>
      <c r="M38" s="3"/>
      <c r="N38" s="3"/>
      <c r="O38" s="3"/>
      <c r="P38" s="3"/>
      <c r="Q38" s="3"/>
      <c r="R38" s="3"/>
    </row>
    <row r="39" spans="9:18" ht="15" customHeight="1">
      <c r="K39" s="3"/>
      <c r="L39" s="3"/>
      <c r="M39" s="3"/>
      <c r="N39" s="3"/>
      <c r="O39" s="3"/>
      <c r="P39" s="3"/>
      <c r="Q39" s="3"/>
      <c r="R39" s="3"/>
    </row>
    <row r="40" spans="9:18" ht="15" customHeight="1">
      <c r="K40" s="3"/>
      <c r="L40" s="3"/>
      <c r="M40" s="3"/>
      <c r="N40" s="3"/>
      <c r="O40" s="3"/>
      <c r="P40" s="3"/>
      <c r="Q40" s="3"/>
      <c r="R40" s="3"/>
    </row>
    <row r="41" spans="9:18" ht="15" customHeight="1"/>
    <row r="42" spans="9:18" ht="15" customHeight="1"/>
    <row r="43" spans="9:18" ht="15" customHeight="1"/>
    <row r="44" spans="9:18" ht="15" customHeight="1"/>
    <row r="45" spans="9:18" ht="15" customHeight="1"/>
    <row r="46" spans="9:18" ht="15" customHeight="1"/>
    <row r="47" spans="9:18" ht="15" customHeight="1"/>
    <row r="48" spans="9:1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pageMargins left="0.70866141732283472" right="0.11811023622047245" top="0.59055118110236227" bottom="0.27559055118110237" header="0.51181102362204722" footer="0.51181102362204722"/>
  <pageSetup paperSize="5" scale="70" firstPageNumber="0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622A5-7CCD-442A-9D13-650A90B1A64E}">
  <sheetPr>
    <tabColor rgb="FF92D050"/>
  </sheetPr>
  <dimension ref="A1:J46"/>
  <sheetViews>
    <sheetView zoomScale="75" zoomScaleNormal="75" workbookViewId="0">
      <selection activeCell="G16" sqref="G16"/>
    </sheetView>
  </sheetViews>
  <sheetFormatPr baseColWidth="10" defaultRowHeight="12.5"/>
  <cols>
    <col min="1" max="1" width="37.453125" customWidth="1"/>
    <col min="2" max="2" width="0" hidden="1" customWidth="1"/>
    <col min="3" max="3" width="20.54296875" customWidth="1"/>
    <col min="4" max="4" width="0" hidden="1" customWidth="1"/>
    <col min="5" max="5" width="0.26953125" customWidth="1"/>
    <col min="6" max="6" width="14.1796875" customWidth="1"/>
    <col min="7" max="7" width="31.453125" customWidth="1"/>
    <col min="8" max="8" width="37.7265625" customWidth="1"/>
    <col min="9" max="9" width="23.453125" customWidth="1"/>
  </cols>
  <sheetData>
    <row r="1" spans="1:10" ht="18">
      <c r="A1" s="60"/>
      <c r="B1" s="60"/>
      <c r="C1" s="60" t="s">
        <v>235</v>
      </c>
      <c r="D1" s="424" t="s">
        <v>236</v>
      </c>
      <c r="E1" s="424"/>
      <c r="F1" s="429"/>
      <c r="G1" s="424"/>
      <c r="H1" s="424"/>
      <c r="I1" s="429"/>
    </row>
    <row r="2" spans="1:10" ht="18">
      <c r="A2" s="427"/>
      <c r="B2" s="427"/>
      <c r="C2" s="427"/>
      <c r="D2" s="427"/>
      <c r="E2" s="427"/>
      <c r="F2" s="468"/>
      <c r="G2" s="469" t="s">
        <v>0</v>
      </c>
      <c r="H2" s="470"/>
      <c r="I2" s="427"/>
    </row>
    <row r="3" spans="1:10" ht="14">
      <c r="A3" s="427"/>
      <c r="B3" s="427"/>
      <c r="C3" s="427"/>
      <c r="D3" s="427"/>
      <c r="E3" s="427"/>
      <c r="F3" s="65"/>
      <c r="G3" s="65"/>
      <c r="H3" s="71"/>
      <c r="I3" s="427"/>
    </row>
    <row r="4" spans="1:10" ht="14">
      <c r="A4" s="427"/>
      <c r="B4" s="427"/>
      <c r="C4" s="427"/>
      <c r="D4" s="427"/>
      <c r="E4" s="427"/>
      <c r="F4" s="65"/>
      <c r="G4" s="65"/>
      <c r="H4" s="71"/>
      <c r="I4" s="427"/>
    </row>
    <row r="5" spans="1:10" ht="15.5">
      <c r="A5" s="65"/>
      <c r="B5" s="65"/>
      <c r="C5" s="60"/>
      <c r="D5" s="81"/>
      <c r="E5" s="63"/>
      <c r="F5" s="471"/>
      <c r="G5" s="169" t="s">
        <v>1</v>
      </c>
      <c r="H5" s="434"/>
      <c r="I5" s="65"/>
    </row>
    <row r="6" spans="1:10" ht="15.5">
      <c r="A6" s="63"/>
      <c r="B6" s="63"/>
      <c r="C6" s="60"/>
      <c r="D6" s="81"/>
      <c r="E6" s="63"/>
      <c r="F6" s="472"/>
      <c r="G6" s="473" t="s">
        <v>237</v>
      </c>
      <c r="H6" s="439"/>
      <c r="I6" s="65"/>
    </row>
    <row r="7" spans="1:10" ht="27" customHeight="1">
      <c r="A7" s="80"/>
      <c r="B7" s="63"/>
      <c r="C7" s="65"/>
      <c r="D7" s="65"/>
      <c r="E7" s="65"/>
      <c r="F7" s="65"/>
      <c r="G7" s="65"/>
      <c r="H7" s="65"/>
      <c r="I7" s="474"/>
    </row>
    <row r="8" spans="1:10" ht="13">
      <c r="A8" s="8" t="s">
        <v>36</v>
      </c>
      <c r="B8" s="12"/>
      <c r="C8" s="13"/>
      <c r="D8" s="12"/>
      <c r="E8" s="12"/>
      <c r="F8" s="8" t="s">
        <v>4</v>
      </c>
      <c r="G8" s="13"/>
      <c r="H8" s="15" t="s">
        <v>570</v>
      </c>
      <c r="I8" s="475" t="s">
        <v>507</v>
      </c>
    </row>
    <row r="9" spans="1:10" ht="13">
      <c r="A9" s="17" t="str">
        <f>+'CDA4'!C10</f>
        <v>INSTITUCIÓN EDUCATIVA  AGROPISCÍCOLA LAS COMPUERTAS</v>
      </c>
      <c r="B9" s="18"/>
      <c r="C9" s="19"/>
      <c r="D9" s="12" t="s">
        <v>74</v>
      </c>
      <c r="E9" s="12"/>
      <c r="F9" s="358" t="str">
        <f>+'CDA4'!L10</f>
        <v>900678838-1</v>
      </c>
      <c r="G9" s="359"/>
      <c r="H9" s="15" t="s">
        <v>508</v>
      </c>
      <c r="I9" s="16"/>
    </row>
    <row r="10" spans="1:10" ht="13">
      <c r="A10" s="17" t="str">
        <f>+'CDA1'!A9</f>
        <v>NOMBRE REP. LEGAL EDGARDO ESPITER LOPEZ</v>
      </c>
      <c r="B10" s="18"/>
      <c r="C10" s="18"/>
      <c r="D10" s="15"/>
      <c r="E10" s="15"/>
      <c r="F10" s="15"/>
      <c r="G10" s="16"/>
      <c r="H10" s="15" t="s">
        <v>509</v>
      </c>
      <c r="I10" s="16"/>
    </row>
    <row r="11" spans="1:10" ht="14">
      <c r="A11" s="282"/>
      <c r="B11" s="282"/>
      <c r="C11" s="282"/>
      <c r="D11" s="282"/>
      <c r="E11" s="282"/>
      <c r="F11" s="282"/>
      <c r="G11" s="282"/>
      <c r="H11" s="282"/>
      <c r="I11" s="282"/>
      <c r="J11" s="65"/>
    </row>
    <row r="12" spans="1:10" ht="13">
      <c r="A12" s="26" t="s">
        <v>238</v>
      </c>
      <c r="B12" s="28"/>
      <c r="C12" s="1114" t="s">
        <v>239</v>
      </c>
      <c r="D12" s="1114"/>
      <c r="E12" s="1114"/>
      <c r="F12" s="1114"/>
      <c r="G12" s="447" t="s">
        <v>240</v>
      </c>
      <c r="H12" s="476" t="s">
        <v>241</v>
      </c>
      <c r="I12" s="477" t="s">
        <v>242</v>
      </c>
      <c r="J12" s="478"/>
    </row>
    <row r="13" spans="1:10" ht="13">
      <c r="A13" s="479"/>
      <c r="B13" s="480"/>
      <c r="C13" s="451" t="s">
        <v>225</v>
      </c>
      <c r="D13" s="481" t="s">
        <v>243</v>
      </c>
      <c r="E13" s="1115" t="s">
        <v>243</v>
      </c>
      <c r="F13" s="1115"/>
      <c r="G13" s="480" t="s">
        <v>238</v>
      </c>
      <c r="H13" s="482"/>
      <c r="I13" s="483"/>
      <c r="J13" s="478"/>
    </row>
    <row r="14" spans="1:10" ht="14">
      <c r="A14" s="484" t="s">
        <v>244</v>
      </c>
      <c r="B14" s="484"/>
      <c r="C14" s="461"/>
      <c r="D14" s="457"/>
      <c r="E14" s="485"/>
      <c r="F14" s="456"/>
      <c r="G14" s="797">
        <v>0</v>
      </c>
      <c r="H14" s="462" t="s">
        <v>245</v>
      </c>
      <c r="I14" s="458"/>
      <c r="J14" s="65"/>
    </row>
    <row r="15" spans="1:10" ht="14">
      <c r="A15" s="484" t="s">
        <v>246</v>
      </c>
      <c r="B15" s="484"/>
      <c r="C15" s="461"/>
      <c r="D15" s="457"/>
      <c r="E15" s="486"/>
      <c r="F15" s="743"/>
      <c r="G15" s="798">
        <v>0</v>
      </c>
      <c r="H15" s="462" t="s">
        <v>247</v>
      </c>
      <c r="I15" s="458"/>
      <c r="J15" s="65"/>
    </row>
    <row r="16" spans="1:10" ht="14">
      <c r="A16" s="484" t="s">
        <v>248</v>
      </c>
      <c r="B16" s="484"/>
      <c r="C16" s="461"/>
      <c r="D16" s="457"/>
      <c r="E16" s="486"/>
      <c r="F16" s="743"/>
      <c r="G16" s="798">
        <v>0</v>
      </c>
      <c r="H16" s="462" t="s">
        <v>249</v>
      </c>
      <c r="I16" s="458"/>
      <c r="J16" s="65"/>
    </row>
    <row r="17" spans="1:10" ht="14">
      <c r="A17" s="484" t="s">
        <v>250</v>
      </c>
      <c r="B17" s="484"/>
      <c r="C17" s="461"/>
      <c r="D17" s="457"/>
      <c r="E17" s="486"/>
      <c r="F17" s="743"/>
      <c r="G17" s="798">
        <v>0</v>
      </c>
      <c r="H17" s="462" t="s">
        <v>251</v>
      </c>
      <c r="I17" s="458"/>
      <c r="J17" s="65"/>
    </row>
    <row r="18" spans="1:10" ht="14">
      <c r="A18" s="484" t="s">
        <v>252</v>
      </c>
      <c r="B18" s="484"/>
      <c r="C18" s="461"/>
      <c r="D18" s="457"/>
      <c r="E18" s="486"/>
      <c r="F18" s="743"/>
      <c r="G18" s="798">
        <v>0</v>
      </c>
      <c r="H18" s="462" t="s">
        <v>253</v>
      </c>
      <c r="I18" s="458"/>
      <c r="J18" s="65"/>
    </row>
    <row r="19" spans="1:10" ht="14">
      <c r="A19" s="484" t="s">
        <v>254</v>
      </c>
      <c r="B19" s="484"/>
      <c r="C19" s="459"/>
      <c r="D19" s="457"/>
      <c r="E19" s="486"/>
      <c r="F19" s="743"/>
      <c r="G19" s="798">
        <v>0</v>
      </c>
      <c r="H19" s="462" t="s">
        <v>255</v>
      </c>
      <c r="I19" s="458"/>
      <c r="J19" s="65"/>
    </row>
    <row r="20" spans="1:10" ht="14">
      <c r="A20" s="484" t="s">
        <v>256</v>
      </c>
      <c r="B20" s="484"/>
      <c r="C20" s="459"/>
      <c r="D20" s="460"/>
      <c r="E20" s="487"/>
      <c r="F20" s="744"/>
      <c r="G20" s="798">
        <v>0</v>
      </c>
      <c r="H20" s="462" t="s">
        <v>257</v>
      </c>
      <c r="I20" s="458"/>
      <c r="J20" s="65"/>
    </row>
    <row r="21" spans="1:10" ht="14">
      <c r="A21" s="484" t="s">
        <v>258</v>
      </c>
      <c r="B21" s="484"/>
      <c r="C21" s="459"/>
      <c r="D21" s="460"/>
      <c r="E21" s="487"/>
      <c r="F21" s="744"/>
      <c r="G21" s="798">
        <v>0</v>
      </c>
      <c r="H21" s="462" t="s">
        <v>259</v>
      </c>
      <c r="I21" s="458"/>
      <c r="J21" s="65"/>
    </row>
    <row r="22" spans="1:10" ht="14">
      <c r="A22" s="484" t="s">
        <v>513</v>
      </c>
      <c r="B22" s="484"/>
      <c r="C22" s="459"/>
      <c r="D22" s="460"/>
      <c r="E22" s="487"/>
      <c r="F22" s="744"/>
      <c r="G22" s="798">
        <v>0</v>
      </c>
      <c r="H22" s="462" t="s">
        <v>260</v>
      </c>
      <c r="I22" s="458"/>
      <c r="J22" s="65"/>
    </row>
    <row r="23" spans="1:10" ht="14">
      <c r="A23" s="484" t="s">
        <v>514</v>
      </c>
      <c r="B23" s="508"/>
      <c r="C23" s="741"/>
      <c r="D23" s="742"/>
      <c r="E23" s="487"/>
      <c r="F23" s="745"/>
      <c r="G23" s="798">
        <v>0</v>
      </c>
      <c r="H23" s="462"/>
      <c r="I23" s="458"/>
      <c r="J23" s="65"/>
    </row>
    <row r="24" spans="1:10" ht="14">
      <c r="A24" s="488"/>
      <c r="B24" s="488"/>
      <c r="C24" s="489"/>
      <c r="D24" s="490"/>
      <c r="E24" s="491"/>
      <c r="F24" s="492"/>
      <c r="G24" s="710"/>
      <c r="H24" s="462" t="s">
        <v>261</v>
      </c>
      <c r="I24" s="799">
        <f>+G28</f>
        <v>0</v>
      </c>
      <c r="J24" s="65"/>
    </row>
    <row r="25" spans="1:10" ht="14">
      <c r="A25" s="154"/>
      <c r="B25" s="493"/>
      <c r="C25" s="284"/>
      <c r="D25" s="284"/>
      <c r="E25" s="284"/>
      <c r="F25" s="284"/>
      <c r="G25" s="625"/>
      <c r="H25" s="462" t="s">
        <v>262</v>
      </c>
      <c r="I25" s="800">
        <f>+I24</f>
        <v>0</v>
      </c>
      <c r="J25" s="65"/>
    </row>
    <row r="26" spans="1:10" ht="14">
      <c r="A26" s="151" t="s">
        <v>263</v>
      </c>
      <c r="B26" s="151"/>
      <c r="C26" s="151" t="s">
        <v>264</v>
      </c>
      <c r="D26" s="494"/>
      <c r="E26" s="13"/>
      <c r="F26" s="152" t="s">
        <v>146</v>
      </c>
      <c r="G26" s="26" t="s">
        <v>265</v>
      </c>
      <c r="H26" s="462" t="s">
        <v>266</v>
      </c>
      <c r="I26" s="800"/>
      <c r="J26" s="65"/>
    </row>
    <row r="27" spans="1:10" ht="14">
      <c r="A27" s="154" t="s">
        <v>237</v>
      </c>
      <c r="B27" s="154"/>
      <c r="C27" s="154"/>
      <c r="D27" s="495"/>
      <c r="E27" s="19"/>
      <c r="F27" s="163" t="s">
        <v>241</v>
      </c>
      <c r="G27" s="162" t="s">
        <v>267</v>
      </c>
      <c r="H27" s="462"/>
      <c r="I27" s="801"/>
      <c r="J27" s="65"/>
    </row>
    <row r="28" spans="1:10" ht="14">
      <c r="A28" s="496"/>
      <c r="B28" s="496"/>
      <c r="C28" s="497"/>
      <c r="D28" s="498"/>
      <c r="E28" s="499"/>
      <c r="F28" s="500"/>
      <c r="G28" s="803">
        <f>SUM(G14:G24)</f>
        <v>0</v>
      </c>
      <c r="H28" s="502" t="s">
        <v>268</v>
      </c>
      <c r="I28" s="802">
        <f>+I24</f>
        <v>0</v>
      </c>
      <c r="J28" s="65"/>
    </row>
    <row r="29" spans="1:10" ht="8.25" customHeight="1">
      <c r="A29" s="284"/>
      <c r="B29" s="284"/>
      <c r="C29" s="284"/>
      <c r="D29" s="284"/>
      <c r="E29" s="284"/>
      <c r="F29" s="284"/>
      <c r="G29" s="284"/>
      <c r="H29" s="493"/>
      <c r="I29" s="282"/>
      <c r="J29" s="65"/>
    </row>
    <row r="30" spans="1:10" ht="4.5" customHeight="1">
      <c r="A30" s="284"/>
      <c r="B30" s="284"/>
      <c r="C30" s="284"/>
      <c r="D30" s="284"/>
      <c r="E30" s="284"/>
      <c r="F30" s="284"/>
      <c r="G30" s="284"/>
      <c r="H30" s="56"/>
      <c r="I30" s="282"/>
      <c r="J30" s="65"/>
    </row>
    <row r="31" spans="1:10" ht="14">
      <c r="A31" s="503" t="s">
        <v>269</v>
      </c>
      <c r="B31" s="504"/>
      <c r="C31" s="504"/>
      <c r="D31" s="504"/>
      <c r="E31" s="504"/>
      <c r="F31" s="505"/>
      <c r="G31" s="506" t="s">
        <v>270</v>
      </c>
      <c r="H31" s="507" t="s">
        <v>271</v>
      </c>
      <c r="I31" s="466"/>
      <c r="J31" s="65"/>
    </row>
    <row r="32" spans="1:10" ht="14">
      <c r="A32" s="508" t="s">
        <v>272</v>
      </c>
      <c r="B32" s="509"/>
      <c r="C32" s="1115" t="s">
        <v>273</v>
      </c>
      <c r="D32" s="1115"/>
      <c r="E32" s="1115"/>
      <c r="F32" s="1115"/>
      <c r="G32" s="510" t="s">
        <v>274</v>
      </c>
      <c r="H32" s="511" t="s">
        <v>275</v>
      </c>
      <c r="I32" s="512"/>
      <c r="J32" s="427"/>
    </row>
    <row r="33" spans="1:10" ht="14">
      <c r="A33" s="513"/>
      <c r="B33" s="514"/>
      <c r="C33" s="482" t="s">
        <v>276</v>
      </c>
      <c r="D33" s="482" t="s">
        <v>276</v>
      </c>
      <c r="E33" s="482" t="s">
        <v>276</v>
      </c>
      <c r="F33" s="482" t="s">
        <v>277</v>
      </c>
      <c r="G33" s="510" t="s">
        <v>278</v>
      </c>
      <c r="H33" s="487"/>
      <c r="I33" s="329"/>
      <c r="J33" s="427"/>
    </row>
    <row r="34" spans="1:10" ht="15.75" customHeight="1">
      <c r="A34" s="508" t="s">
        <v>279</v>
      </c>
      <c r="B34" s="509"/>
      <c r="C34" s="462"/>
      <c r="D34" s="462"/>
      <c r="E34" s="462"/>
      <c r="F34" s="462"/>
      <c r="G34" s="510" t="s">
        <v>280</v>
      </c>
      <c r="H34" s="511" t="s">
        <v>281</v>
      </c>
      <c r="I34" s="512"/>
      <c r="J34" s="427"/>
    </row>
    <row r="35" spans="1:10" ht="23.25" customHeight="1">
      <c r="A35" s="488" t="s">
        <v>282</v>
      </c>
      <c r="B35" s="515"/>
      <c r="C35" s="516">
        <v>1</v>
      </c>
      <c r="D35" s="516"/>
      <c r="E35" s="516"/>
      <c r="F35" s="516">
        <v>91</v>
      </c>
      <c r="G35" s="517" t="s">
        <v>283</v>
      </c>
      <c r="H35" s="518" t="s">
        <v>284</v>
      </c>
      <c r="I35" s="464"/>
      <c r="J35" s="427"/>
    </row>
    <row r="36" spans="1:10" ht="21" customHeight="1">
      <c r="A36" s="60"/>
      <c r="B36" s="60"/>
      <c r="C36" s="60"/>
      <c r="D36" s="235"/>
      <c r="E36" s="235"/>
      <c r="F36" s="60"/>
      <c r="G36" s="60"/>
      <c r="H36" s="60"/>
      <c r="I36" s="60"/>
      <c r="J36" s="60"/>
    </row>
    <row r="37" spans="1:10" ht="14">
      <c r="A37" s="519" t="s">
        <v>285</v>
      </c>
      <c r="B37" s="427"/>
      <c r="C37" s="427"/>
      <c r="F37" s="427"/>
      <c r="G37" s="427"/>
      <c r="H37" s="427"/>
      <c r="I37" s="427"/>
      <c r="J37" s="60"/>
    </row>
    <row r="38" spans="1:10" ht="14">
      <c r="A38" s="137"/>
      <c r="B38" s="137"/>
      <c r="C38" s="137"/>
      <c r="D38" s="137"/>
      <c r="E38" s="137"/>
      <c r="F38" s="137"/>
      <c r="G38" s="137"/>
      <c r="H38" s="137"/>
      <c r="I38" s="137"/>
      <c r="J38" s="427"/>
    </row>
    <row r="39" spans="1:10">
      <c r="A39" s="137"/>
      <c r="B39" s="137"/>
      <c r="C39" s="137"/>
      <c r="D39" s="137"/>
      <c r="E39" s="137"/>
      <c r="F39" s="137"/>
      <c r="G39" s="137"/>
      <c r="H39" s="137"/>
      <c r="I39" s="137"/>
      <c r="J39" s="137"/>
    </row>
    <row r="40" spans="1:10">
      <c r="A40" s="137"/>
      <c r="B40" s="137"/>
      <c r="C40" s="137"/>
      <c r="D40" s="137"/>
      <c r="E40" s="137"/>
      <c r="F40" s="137"/>
      <c r="G40" s="137"/>
      <c r="H40" s="137"/>
      <c r="I40" s="137"/>
      <c r="J40" s="137"/>
    </row>
    <row r="41" spans="1:10">
      <c r="A41" s="137"/>
      <c r="B41" s="137"/>
      <c r="C41" s="137"/>
      <c r="D41" s="137"/>
      <c r="E41" s="137"/>
      <c r="F41" s="137"/>
      <c r="G41" s="137"/>
      <c r="H41" s="137"/>
      <c r="I41" s="137"/>
      <c r="J41" s="137"/>
    </row>
    <row r="42" spans="1:10">
      <c r="A42" s="137"/>
      <c r="B42" s="137"/>
      <c r="C42" s="137"/>
      <c r="D42" s="137"/>
      <c r="E42" s="137"/>
      <c r="F42" s="137"/>
      <c r="G42" s="137"/>
      <c r="H42" s="137"/>
      <c r="I42" s="137"/>
      <c r="J42" s="137"/>
    </row>
    <row r="43" spans="1:10" ht="13">
      <c r="A43" s="60"/>
      <c r="B43" s="60"/>
      <c r="C43" s="60"/>
      <c r="D43" s="60"/>
      <c r="E43" s="60"/>
      <c r="F43" s="60"/>
      <c r="G43" s="60"/>
      <c r="H43" s="60"/>
      <c r="I43" s="60"/>
      <c r="J43" s="137"/>
    </row>
    <row r="44" spans="1:10" ht="13">
      <c r="A44" s="60"/>
      <c r="B44" s="60"/>
      <c r="C44" s="60"/>
      <c r="D44" s="60"/>
      <c r="E44" s="60"/>
      <c r="F44" s="60"/>
      <c r="G44" s="60"/>
      <c r="H44" s="60"/>
      <c r="I44" s="60"/>
      <c r="J44" s="60"/>
    </row>
    <row r="45" spans="1:10" ht="13">
      <c r="A45" s="60"/>
      <c r="B45" s="60"/>
      <c r="C45" s="60"/>
      <c r="D45" s="60"/>
      <c r="E45" s="60"/>
      <c r="F45" s="60"/>
      <c r="G45" s="60"/>
      <c r="H45" s="60"/>
      <c r="I45" s="60"/>
      <c r="J45" s="60"/>
    </row>
    <row r="46" spans="1:10" ht="13">
      <c r="J46" s="60"/>
    </row>
  </sheetData>
  <mergeCells count="3">
    <mergeCell ref="C12:F12"/>
    <mergeCell ref="E13:F13"/>
    <mergeCell ref="C32:F32"/>
  </mergeCells>
  <pageMargins left="0.86614173228346458" right="7.874015748031496E-2" top="0.59055118110236227" bottom="0.59055118110236227" header="0.51181102362204722" footer="0.51181102362204722"/>
  <pageSetup paperSize="5" scale="95" firstPageNumber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985F3-2F30-45BC-B796-B468C0DED496}">
  <sheetPr>
    <tabColor rgb="FF92D050"/>
  </sheetPr>
  <dimension ref="A3:Q33"/>
  <sheetViews>
    <sheetView zoomScale="75" zoomScaleNormal="75" workbookViewId="0">
      <selection activeCell="I17" sqref="I17"/>
    </sheetView>
  </sheetViews>
  <sheetFormatPr baseColWidth="10" defaultRowHeight="12.5"/>
  <cols>
    <col min="1" max="1" width="4.453125" customWidth="1"/>
    <col min="2" max="2" width="4.54296875" customWidth="1"/>
    <col min="3" max="3" width="5.1796875" customWidth="1"/>
    <col min="4" max="4" width="7" customWidth="1"/>
    <col min="5" max="5" width="16.1796875" customWidth="1"/>
    <col min="6" max="6" width="4.54296875" customWidth="1"/>
    <col min="7" max="7" width="4.26953125" customWidth="1"/>
    <col min="8" max="8" width="16.1796875" customWidth="1"/>
    <col min="9" max="9" width="22.81640625" customWidth="1"/>
    <col min="10" max="10" width="8.26953125" customWidth="1"/>
    <col min="11" max="11" width="9.26953125" customWidth="1"/>
    <col min="12" max="12" width="0" hidden="1" customWidth="1"/>
    <col min="13" max="13" width="5.26953125" customWidth="1"/>
    <col min="14" max="14" width="5.7265625" customWidth="1"/>
    <col min="15" max="15" width="5.1796875" customWidth="1"/>
    <col min="16" max="16" width="20.54296875" customWidth="1"/>
  </cols>
  <sheetData>
    <row r="3" spans="1:17" ht="18">
      <c r="F3" s="235"/>
      <c r="G3" s="520"/>
      <c r="H3" s="1116" t="s">
        <v>0</v>
      </c>
      <c r="I3" s="1116"/>
      <c r="J3" s="1116"/>
      <c r="K3" s="1116"/>
      <c r="L3" s="1116"/>
      <c r="M3" s="1116"/>
      <c r="N3" s="1116"/>
      <c r="O3" s="1116"/>
      <c r="P3" s="1116"/>
    </row>
    <row r="4" spans="1:17" ht="13">
      <c r="H4" s="3"/>
      <c r="I4" s="56"/>
      <c r="J4" s="56"/>
      <c r="K4" s="56"/>
      <c r="L4" s="56"/>
      <c r="M4" s="56"/>
      <c r="N4" s="56"/>
      <c r="O4" s="56"/>
      <c r="P4" s="3"/>
    </row>
    <row r="5" spans="1:17" ht="15.5">
      <c r="H5" s="522"/>
      <c r="I5" s="433" t="s">
        <v>34</v>
      </c>
      <c r="J5" s="433"/>
      <c r="K5" s="433"/>
      <c r="L5" s="433"/>
      <c r="M5" s="433"/>
      <c r="N5" s="433"/>
      <c r="O5" s="523"/>
      <c r="P5" s="524"/>
    </row>
    <row r="6" spans="1:17" ht="15.5">
      <c r="H6" s="525"/>
      <c r="I6" s="437" t="s">
        <v>286</v>
      </c>
      <c r="J6" s="437"/>
      <c r="K6" s="437"/>
      <c r="L6" s="437"/>
      <c r="M6" s="437"/>
      <c r="N6" s="437"/>
      <c r="O6" s="526"/>
      <c r="P6" s="524"/>
    </row>
    <row r="7" spans="1:17" ht="13">
      <c r="H7" s="303"/>
      <c r="I7" s="305"/>
      <c r="J7" s="305"/>
      <c r="K7" s="305"/>
      <c r="L7" s="305"/>
      <c r="M7" s="305"/>
      <c r="N7" s="305"/>
      <c r="O7" s="305"/>
      <c r="P7" s="303"/>
    </row>
    <row r="8" spans="1:17" ht="13">
      <c r="A8" s="8" t="s">
        <v>36</v>
      </c>
      <c r="B8" s="12"/>
      <c r="C8" s="12"/>
      <c r="D8" s="12"/>
      <c r="E8" s="12"/>
      <c r="F8" s="46"/>
      <c r="G8" s="12"/>
      <c r="H8" s="46"/>
      <c r="I8" s="8" t="s">
        <v>4</v>
      </c>
      <c r="J8" s="23" t="s">
        <v>570</v>
      </c>
      <c r="K8" s="268"/>
      <c r="L8" s="268"/>
      <c r="M8" s="268"/>
      <c r="N8" s="268"/>
      <c r="O8" s="255"/>
      <c r="P8" s="47"/>
    </row>
    <row r="9" spans="1:17" ht="13">
      <c r="A9" s="358" t="str">
        <f>+'CDA1'!A8</f>
        <v>INSTITUCIÓN EDUCATIVA  AGROPISCÍCOLA LAS COMPUERTAS</v>
      </c>
      <c r="B9" s="56"/>
      <c r="C9" s="56"/>
      <c r="D9" s="56"/>
      <c r="E9" s="56"/>
      <c r="F9" s="3"/>
      <c r="G9" s="56"/>
      <c r="H9" s="3"/>
      <c r="I9" s="17" t="str">
        <f>+'CDA1'!I7</f>
        <v>900678838-1</v>
      </c>
      <c r="J9" s="23" t="s">
        <v>539</v>
      </c>
      <c r="K9" s="15"/>
      <c r="L9" s="268"/>
      <c r="M9" s="268"/>
      <c r="N9" s="268"/>
      <c r="O9" s="358" t="s">
        <v>537</v>
      </c>
      <c r="P9" s="50"/>
    </row>
    <row r="10" spans="1:17" ht="13">
      <c r="A10" s="23" t="str">
        <f>+'CDA1'!A9</f>
        <v>NOMBRE REP. LEGAL EDGARDO ESPITER LOPEZ</v>
      </c>
      <c r="B10" s="15"/>
      <c r="C10" s="15"/>
      <c r="D10" s="15"/>
      <c r="E10" s="15"/>
      <c r="F10" s="268"/>
      <c r="G10" s="15"/>
      <c r="H10" s="268"/>
      <c r="I10" s="18"/>
      <c r="J10" s="23" t="s">
        <v>509</v>
      </c>
      <c r="K10" s="15"/>
      <c r="L10" s="268"/>
      <c r="M10" s="268"/>
      <c r="N10" s="268"/>
      <c r="O10" s="51"/>
      <c r="P10" s="54"/>
    </row>
    <row r="11" spans="1:17">
      <c r="A11" s="3"/>
      <c r="B11" s="3"/>
      <c r="C11" s="3"/>
      <c r="D11" s="3"/>
      <c r="E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17" ht="15" customHeight="1">
      <c r="A12" s="8" t="s">
        <v>287</v>
      </c>
      <c r="B12" s="12"/>
      <c r="C12" s="12"/>
      <c r="D12" s="13"/>
      <c r="E12" s="527" t="s">
        <v>47</v>
      </c>
      <c r="F12" s="527"/>
      <c r="G12" s="13"/>
      <c r="H12" s="527" t="s">
        <v>288</v>
      </c>
      <c r="I12" s="527" t="s">
        <v>289</v>
      </c>
      <c r="J12" s="1117" t="s">
        <v>290</v>
      </c>
      <c r="K12" s="1117"/>
      <c r="L12" s="12"/>
      <c r="M12" s="8" t="s">
        <v>291</v>
      </c>
      <c r="N12" s="12"/>
      <c r="O12" s="13"/>
      <c r="P12" s="13"/>
      <c r="Q12" s="3"/>
    </row>
    <row r="13" spans="1:17" ht="13">
      <c r="A13" s="358"/>
      <c r="B13" s="56"/>
      <c r="C13" s="56"/>
      <c r="D13" s="359"/>
      <c r="E13" s="528"/>
      <c r="F13" s="528" t="s">
        <v>26</v>
      </c>
      <c r="G13" s="359" t="s">
        <v>27</v>
      </c>
      <c r="H13" s="528" t="s">
        <v>292</v>
      </c>
      <c r="I13" s="528" t="s">
        <v>293</v>
      </c>
      <c r="J13" s="529" t="s">
        <v>294</v>
      </c>
      <c r="K13" s="19"/>
      <c r="L13" s="18"/>
      <c r="M13" s="529" t="s">
        <v>295</v>
      </c>
      <c r="N13" s="18"/>
      <c r="O13" s="19"/>
      <c r="P13" s="359" t="s">
        <v>296</v>
      </c>
      <c r="Q13" s="3"/>
    </row>
    <row r="14" spans="1:17" ht="13">
      <c r="A14" s="530" t="s">
        <v>20</v>
      </c>
      <c r="B14" s="531" t="s">
        <v>81</v>
      </c>
      <c r="C14" s="531" t="s">
        <v>21</v>
      </c>
      <c r="D14" s="532" t="s">
        <v>82</v>
      </c>
      <c r="E14" s="304"/>
      <c r="F14" s="304"/>
      <c r="G14" s="19"/>
      <c r="H14" s="304"/>
      <c r="I14" s="17"/>
      <c r="J14" s="533" t="s">
        <v>26</v>
      </c>
      <c r="K14" s="534" t="s">
        <v>27</v>
      </c>
      <c r="L14" s="18"/>
      <c r="M14" s="535" t="s">
        <v>297</v>
      </c>
      <c r="N14" s="536" t="s">
        <v>298</v>
      </c>
      <c r="O14" s="475" t="s">
        <v>299</v>
      </c>
      <c r="P14" s="19"/>
      <c r="Q14" s="3"/>
    </row>
    <row r="15" spans="1:17" ht="13">
      <c r="A15" s="306"/>
      <c r="B15" s="164"/>
      <c r="C15" s="164"/>
      <c r="D15" s="164"/>
      <c r="E15" s="537" t="s">
        <v>300</v>
      </c>
      <c r="F15" s="164"/>
      <c r="G15" s="451" t="s">
        <v>546</v>
      </c>
      <c r="H15" s="164"/>
      <c r="I15" s="164"/>
      <c r="J15" s="164"/>
      <c r="K15" s="164"/>
      <c r="L15" s="164"/>
      <c r="M15" s="164"/>
      <c r="N15" s="164"/>
      <c r="O15" s="164"/>
      <c r="P15" s="165"/>
      <c r="Q15" s="3"/>
    </row>
    <row r="16" spans="1:17" ht="13">
      <c r="A16" s="34"/>
      <c r="B16" s="35"/>
      <c r="C16" s="35"/>
      <c r="D16" s="35"/>
      <c r="E16" s="538" t="s">
        <v>55</v>
      </c>
      <c r="F16" s="35"/>
      <c r="G16" s="781" t="s">
        <v>546</v>
      </c>
      <c r="H16" s="35"/>
      <c r="I16" s="35"/>
      <c r="J16" s="35"/>
      <c r="K16" s="35"/>
      <c r="L16" s="35"/>
      <c r="M16" s="35"/>
      <c r="N16" s="35"/>
      <c r="O16" s="35"/>
      <c r="P16" s="38"/>
      <c r="Q16" s="3"/>
    </row>
    <row r="17" spans="1:17" ht="13">
      <c r="A17" s="34"/>
      <c r="B17" s="35"/>
      <c r="C17" s="35"/>
      <c r="D17" s="35"/>
      <c r="E17" s="538" t="s">
        <v>57</v>
      </c>
      <c r="F17" s="35"/>
      <c r="G17" s="781" t="s">
        <v>546</v>
      </c>
      <c r="H17" s="35"/>
      <c r="I17" s="35"/>
      <c r="J17" s="35"/>
      <c r="K17" s="35"/>
      <c r="L17" s="35"/>
      <c r="M17" s="35"/>
      <c r="N17" s="35"/>
      <c r="O17" s="35"/>
      <c r="P17" s="38"/>
      <c r="Q17" s="3"/>
    </row>
    <row r="18" spans="1:17" ht="13">
      <c r="A18" s="34"/>
      <c r="B18" s="35"/>
      <c r="C18" s="35"/>
      <c r="D18" s="35"/>
      <c r="E18" s="538" t="s">
        <v>59</v>
      </c>
      <c r="F18" s="35"/>
      <c r="G18" s="781" t="s">
        <v>546</v>
      </c>
      <c r="H18" s="35"/>
      <c r="I18" s="35"/>
      <c r="J18" s="35"/>
      <c r="K18" s="35"/>
      <c r="L18" s="35"/>
      <c r="M18" s="35"/>
      <c r="N18" s="35"/>
      <c r="O18" s="35"/>
      <c r="P18" s="38"/>
      <c r="Q18" s="3"/>
    </row>
    <row r="19" spans="1:17" ht="13">
      <c r="A19" s="34"/>
      <c r="B19" s="35"/>
      <c r="C19" s="35"/>
      <c r="D19" s="35"/>
      <c r="E19" s="538" t="s">
        <v>61</v>
      </c>
      <c r="F19" s="35"/>
      <c r="G19" s="781" t="s">
        <v>546</v>
      </c>
      <c r="H19" s="35"/>
      <c r="I19" s="35"/>
      <c r="J19" s="35"/>
      <c r="K19" s="35"/>
      <c r="L19" s="35"/>
      <c r="M19" s="35"/>
      <c r="N19" s="35"/>
      <c r="O19" s="35"/>
      <c r="P19" s="38"/>
      <c r="Q19" s="3"/>
    </row>
    <row r="20" spans="1:17" ht="19.5" customHeight="1">
      <c r="A20" s="34"/>
      <c r="B20" s="35"/>
      <c r="C20" s="35"/>
      <c r="D20" s="35"/>
      <c r="E20" s="538" t="s">
        <v>60</v>
      </c>
      <c r="F20" s="35"/>
      <c r="G20" s="781" t="s">
        <v>546</v>
      </c>
      <c r="H20" s="35"/>
      <c r="I20" s="35"/>
      <c r="J20" s="35"/>
      <c r="K20" s="35"/>
      <c r="L20" s="35"/>
      <c r="M20" s="35"/>
      <c r="N20" s="35"/>
      <c r="O20" s="35"/>
      <c r="P20" s="38"/>
      <c r="Q20" s="3"/>
    </row>
    <row r="21" spans="1:17" ht="19.5" customHeight="1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8"/>
      <c r="Q21" s="3"/>
    </row>
    <row r="22" spans="1:17" ht="19.5" customHeight="1">
      <c r="A22" s="39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3"/>
    </row>
    <row r="23" spans="1:17" ht="19.5" customHeight="1">
      <c r="A23" s="255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</row>
    <row r="24" spans="1:17" ht="19.5" customHeight="1">
      <c r="A24" s="48" t="s">
        <v>301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50"/>
    </row>
    <row r="25" spans="1:17" ht="19.5" customHeight="1">
      <c r="A25" s="48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50"/>
    </row>
    <row r="26" spans="1:17" ht="19.5" customHeight="1">
      <c r="A26" s="132"/>
      <c r="B26" s="106"/>
      <c r="C26" s="106"/>
      <c r="D26" s="106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50"/>
    </row>
    <row r="27" spans="1:17" ht="19.5" customHeight="1">
      <c r="A27" s="132"/>
      <c r="B27" s="106" t="s">
        <v>85</v>
      </c>
      <c r="C27" s="106"/>
      <c r="D27" s="106"/>
      <c r="E27" s="3"/>
      <c r="F27" s="3"/>
      <c r="G27" s="3"/>
      <c r="H27" s="3"/>
      <c r="I27" s="3"/>
      <c r="J27" s="3"/>
      <c r="K27" s="3" t="s">
        <v>31</v>
      </c>
      <c r="L27" s="3"/>
      <c r="M27" s="3"/>
      <c r="N27" s="3"/>
      <c r="O27" s="3"/>
      <c r="P27" s="50"/>
    </row>
    <row r="28" spans="1:17" ht="14">
      <c r="A28" s="132"/>
      <c r="B28" s="71" t="s">
        <v>32</v>
      </c>
      <c r="C28" s="56"/>
      <c r="D28" s="71"/>
      <c r="E28" s="71"/>
      <c r="F28" s="71"/>
      <c r="G28" s="56"/>
      <c r="H28" s="71"/>
      <c r="I28" s="71"/>
      <c r="J28" s="56"/>
      <c r="K28" s="71" t="s">
        <v>302</v>
      </c>
      <c r="L28" s="71"/>
      <c r="M28" s="56"/>
      <c r="N28" s="56"/>
      <c r="O28" s="56"/>
      <c r="P28" s="359"/>
    </row>
    <row r="29" spans="1:17" ht="14">
      <c r="A29" s="132"/>
      <c r="B29" s="106"/>
      <c r="C29" s="106"/>
      <c r="D29" s="106"/>
      <c r="E29" s="71"/>
      <c r="F29" s="71"/>
      <c r="G29" s="106"/>
      <c r="H29" s="71"/>
      <c r="I29" s="56"/>
      <c r="J29" s="56"/>
      <c r="K29" s="71" t="s">
        <v>303</v>
      </c>
      <c r="L29" s="71"/>
      <c r="M29" s="56"/>
      <c r="N29" s="56"/>
      <c r="O29" s="56"/>
      <c r="P29" s="359"/>
    </row>
    <row r="30" spans="1:17" ht="15" customHeight="1">
      <c r="A30" s="132"/>
      <c r="B30" s="106"/>
      <c r="C30" s="106"/>
      <c r="D30" s="10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359"/>
    </row>
    <row r="31" spans="1:17" ht="15" customHeight="1">
      <c r="A31" s="51"/>
      <c r="B31" s="53"/>
      <c r="C31" s="53"/>
      <c r="D31" s="53"/>
      <c r="E31" s="501"/>
      <c r="F31" s="501"/>
      <c r="G31" s="501"/>
      <c r="H31" s="501"/>
      <c r="I31" s="501"/>
      <c r="J31" s="501"/>
      <c r="K31" s="501"/>
      <c r="L31" s="501"/>
      <c r="M31" s="501"/>
      <c r="N31" s="501"/>
      <c r="O31" s="501"/>
      <c r="P31" s="336"/>
    </row>
    <row r="32" spans="1:17" ht="15" customHeight="1"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</row>
    <row r="33" spans="1:1" ht="15" customHeight="1">
      <c r="A33" s="59" t="s">
        <v>304</v>
      </c>
    </row>
  </sheetData>
  <mergeCells count="2">
    <mergeCell ref="H3:P3"/>
    <mergeCell ref="J12:K12"/>
  </mergeCells>
  <pageMargins left="0.98425196850393704" right="0.39370078740157483" top="0.59055118110236227" bottom="0.19685039370078741" header="0.51181102362204722" footer="0.51181102362204722"/>
  <pageSetup paperSize="5" firstPageNumber="0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0A46-F733-4EF9-8ECE-3A7A10F8AF04}">
  <sheetPr>
    <tabColor rgb="FF92D050"/>
  </sheetPr>
  <dimension ref="A1:AU48"/>
  <sheetViews>
    <sheetView zoomScale="75" zoomScaleNormal="75" workbookViewId="0">
      <selection activeCell="G1" sqref="G1"/>
    </sheetView>
  </sheetViews>
  <sheetFormatPr baseColWidth="10" defaultColWidth="11.453125" defaultRowHeight="13"/>
  <cols>
    <col min="1" max="1" width="3" style="61" customWidth="1"/>
    <col min="2" max="2" width="3.7265625" style="61" customWidth="1"/>
    <col min="3" max="3" width="4.453125" style="61" customWidth="1"/>
    <col min="4" max="4" width="4.26953125" style="61" customWidth="1"/>
    <col min="5" max="5" width="7.1796875" style="61" customWidth="1"/>
    <col min="6" max="6" width="14" style="61" customWidth="1"/>
    <col min="7" max="7" width="10.81640625" style="61" customWidth="1"/>
    <col min="8" max="8" width="11.26953125" style="61" customWidth="1"/>
    <col min="9" max="9" width="16.1796875" style="61" customWidth="1"/>
    <col min="10" max="10" width="11.81640625" style="61" customWidth="1"/>
    <col min="11" max="12" width="9.7265625" style="61" customWidth="1"/>
    <col min="13" max="13" width="15.453125" style="61" customWidth="1"/>
    <col min="14" max="14" width="11.81640625" style="61" customWidth="1"/>
    <col min="15" max="15" width="10.453125" style="61" customWidth="1"/>
    <col min="16" max="16" width="9.1796875" style="61" customWidth="1"/>
    <col min="17" max="17" width="16" style="61" customWidth="1"/>
    <col min="18" max="16384" width="11.453125" style="61"/>
  </cols>
  <sheetData>
    <row r="1" spans="2:17" ht="6" customHeight="1"/>
    <row r="2" spans="2:17" hidden="1"/>
    <row r="3" spans="2:17" ht="21" customHeight="1">
      <c r="I3" s="539" t="s">
        <v>0</v>
      </c>
      <c r="J3" s="539"/>
      <c r="K3" s="539"/>
      <c r="L3" s="539"/>
      <c r="M3" s="539"/>
    </row>
    <row r="4" spans="2:17" ht="11.25" customHeight="1">
      <c r="I4" s="539"/>
      <c r="J4" s="539"/>
      <c r="K4" s="539"/>
      <c r="L4" s="539"/>
      <c r="M4" s="539"/>
    </row>
    <row r="5" spans="2:17" ht="15.5">
      <c r="H5" s="64"/>
      <c r="I5" s="168"/>
      <c r="J5" s="170" t="s">
        <v>34</v>
      </c>
      <c r="K5" s="170"/>
      <c r="L5" s="170"/>
      <c r="M5" s="170"/>
      <c r="N5" s="141"/>
      <c r="O5" s="141"/>
      <c r="P5" s="228"/>
    </row>
    <row r="6" spans="2:17" ht="15.5">
      <c r="H6" s="64"/>
      <c r="I6" s="540"/>
      <c r="J6" s="175" t="s">
        <v>305</v>
      </c>
      <c r="K6" s="175"/>
      <c r="L6" s="175"/>
      <c r="M6" s="175"/>
      <c r="N6" s="64"/>
      <c r="O6" s="64"/>
      <c r="P6" s="133"/>
    </row>
    <row r="7" spans="2:17" ht="15.5">
      <c r="H7" s="64"/>
      <c r="I7" s="171"/>
      <c r="J7" s="172"/>
      <c r="K7" s="172"/>
      <c r="L7" s="172"/>
      <c r="M7" s="172"/>
      <c r="N7" s="73"/>
      <c r="O7" s="73"/>
      <c r="P7" s="231"/>
    </row>
    <row r="8" spans="2:17" ht="15.5">
      <c r="H8" s="64"/>
      <c r="I8" s="175"/>
      <c r="J8" s="175"/>
      <c r="K8" s="175"/>
      <c r="L8" s="175"/>
      <c r="M8" s="175"/>
      <c r="N8" s="64"/>
      <c r="O8" s="64"/>
      <c r="P8" s="64"/>
    </row>
    <row r="9" spans="2:17" ht="11.25" customHeight="1">
      <c r="H9" s="64"/>
      <c r="I9" s="175"/>
      <c r="J9" s="175"/>
      <c r="K9" s="175"/>
      <c r="L9" s="175"/>
      <c r="M9" s="175"/>
      <c r="N9" s="64"/>
      <c r="O9" s="64"/>
      <c r="P9" s="64"/>
    </row>
    <row r="10" spans="2:17" ht="8.25" customHeight="1">
      <c r="H10" s="64"/>
      <c r="I10" s="175"/>
      <c r="J10" s="175"/>
      <c r="K10" s="175"/>
      <c r="L10" s="175"/>
      <c r="M10" s="175"/>
      <c r="N10" s="64"/>
      <c r="O10" s="64"/>
      <c r="P10" s="64"/>
    </row>
    <row r="11" spans="2:17" ht="7.5" customHeight="1"/>
    <row r="12" spans="2:17" ht="14">
      <c r="B12" s="177" t="s">
        <v>36</v>
      </c>
      <c r="C12" s="178"/>
      <c r="D12" s="277"/>
      <c r="E12" s="277"/>
      <c r="F12" s="277"/>
      <c r="G12" s="277"/>
      <c r="H12" s="541"/>
      <c r="I12" s="542" t="s">
        <v>74</v>
      </c>
      <c r="J12" s="178"/>
      <c r="K12" s="179"/>
      <c r="L12" s="184" t="s">
        <v>568</v>
      </c>
      <c r="M12" s="180"/>
      <c r="N12" s="470"/>
      <c r="O12" s="177"/>
      <c r="P12" s="178"/>
      <c r="Q12" s="179"/>
    </row>
    <row r="13" spans="2:17" ht="14">
      <c r="B13" s="70" t="str">
        <f>+'CDA1'!A8</f>
        <v>INSTITUCIÓN EDUCATIVA  AGROPISCÍCOLA LAS COMPUERTAS</v>
      </c>
      <c r="C13" s="71"/>
      <c r="D13" s="282"/>
      <c r="E13" s="282"/>
      <c r="F13" s="282"/>
      <c r="G13" s="543"/>
      <c r="H13" s="544"/>
      <c r="I13" s="181" t="str">
        <f>+'CDA1'!I7</f>
        <v>900678838-1</v>
      </c>
      <c r="J13" s="182"/>
      <c r="K13" s="185"/>
      <c r="L13" s="184" t="s">
        <v>539</v>
      </c>
      <c r="M13" s="180"/>
      <c r="N13" s="470"/>
      <c r="O13" s="70" t="s">
        <v>541</v>
      </c>
      <c r="P13" s="71"/>
      <c r="Q13" s="183"/>
    </row>
    <row r="14" spans="2:17" ht="14">
      <c r="B14" s="184" t="str">
        <f>+'CDA1'!A9</f>
        <v>NOMBRE REP. LEGAL EDGARDO ESPITER LOPEZ</v>
      </c>
      <c r="C14" s="180"/>
      <c r="D14" s="180"/>
      <c r="E14" s="180"/>
      <c r="F14" s="180"/>
      <c r="G14" s="545"/>
      <c r="H14" s="180"/>
      <c r="I14" s="180"/>
      <c r="J14" s="180"/>
      <c r="K14" s="470"/>
      <c r="L14" s="184" t="s">
        <v>540</v>
      </c>
      <c r="M14" s="180"/>
      <c r="N14" s="470"/>
      <c r="O14" s="181"/>
      <c r="P14" s="182"/>
      <c r="Q14" s="185"/>
    </row>
    <row r="16" spans="2:17" ht="14">
      <c r="B16" s="787"/>
      <c r="C16" s="788" t="s">
        <v>10</v>
      </c>
      <c r="D16" s="788"/>
      <c r="E16" s="789"/>
      <c r="F16" s="1120" t="s">
        <v>306</v>
      </c>
      <c r="G16" s="1120"/>
      <c r="H16" s="1120"/>
      <c r="I16" s="1120"/>
      <c r="J16" s="1120"/>
      <c r="K16" s="1120"/>
      <c r="L16" s="1120"/>
      <c r="M16" s="1120"/>
      <c r="N16" s="1120"/>
      <c r="O16" s="1120"/>
      <c r="P16" s="1120"/>
      <c r="Q16" s="1121"/>
    </row>
    <row r="17" spans="1:17" ht="24" customHeight="1">
      <c r="B17" s="790" t="s">
        <v>20</v>
      </c>
      <c r="C17" s="547" t="s">
        <v>81</v>
      </c>
      <c r="D17" s="547" t="s">
        <v>21</v>
      </c>
      <c r="E17" s="548" t="s">
        <v>307</v>
      </c>
      <c r="F17" s="546" t="s">
        <v>157</v>
      </c>
      <c r="G17" s="547" t="s">
        <v>308</v>
      </c>
      <c r="H17" s="547" t="s">
        <v>309</v>
      </c>
      <c r="I17" s="547" t="s">
        <v>310</v>
      </c>
      <c r="J17" s="547" t="s">
        <v>311</v>
      </c>
      <c r="K17" s="547" t="s">
        <v>13</v>
      </c>
      <c r="L17" s="547" t="s">
        <v>309</v>
      </c>
      <c r="M17" s="547" t="s">
        <v>310</v>
      </c>
      <c r="N17" s="547" t="s">
        <v>312</v>
      </c>
      <c r="O17" s="547" t="s">
        <v>308</v>
      </c>
      <c r="P17" s="547" t="s">
        <v>309</v>
      </c>
      <c r="Q17" s="791" t="s">
        <v>310</v>
      </c>
    </row>
    <row r="18" spans="1:17" ht="15" customHeight="1">
      <c r="B18" s="792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793"/>
    </row>
    <row r="19" spans="1:17" ht="15" customHeight="1">
      <c r="B19" s="792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793"/>
    </row>
    <row r="20" spans="1:17" ht="15" customHeight="1">
      <c r="B20" s="792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793"/>
    </row>
    <row r="21" spans="1:17" ht="15" customHeight="1">
      <c r="B21" s="792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793"/>
    </row>
    <row r="22" spans="1:17" ht="15" customHeight="1">
      <c r="B22" s="792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793"/>
    </row>
    <row r="23" spans="1:17" ht="15" customHeight="1">
      <c r="B23" s="792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793"/>
    </row>
    <row r="24" spans="1:17" ht="15" customHeight="1">
      <c r="B24" s="792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793"/>
    </row>
    <row r="25" spans="1:17" ht="15" customHeight="1">
      <c r="B25" s="792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793"/>
    </row>
    <row r="26" spans="1:17" ht="15" customHeight="1">
      <c r="B26" s="792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793"/>
    </row>
    <row r="27" spans="1:17" ht="15" customHeight="1">
      <c r="B27" s="792"/>
      <c r="C27" s="247"/>
      <c r="D27" s="549"/>
      <c r="E27" s="549"/>
      <c r="F27" s="549"/>
      <c r="G27" s="549"/>
      <c r="H27" s="549"/>
      <c r="I27" s="549"/>
      <c r="J27" s="247"/>
      <c r="K27" s="247"/>
      <c r="L27" s="247"/>
      <c r="M27" s="247"/>
      <c r="N27" s="247"/>
      <c r="O27" s="247"/>
      <c r="P27" s="247"/>
      <c r="Q27" s="793"/>
    </row>
    <row r="28" spans="1:17" ht="15" customHeight="1">
      <c r="B28" s="792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793"/>
    </row>
    <row r="29" spans="1:17" ht="15" customHeight="1">
      <c r="B29" s="794"/>
      <c r="C29" s="795"/>
      <c r="D29" s="795"/>
      <c r="E29" s="795"/>
      <c r="F29" s="795"/>
      <c r="G29" s="795"/>
      <c r="H29" s="795"/>
      <c r="I29" s="795"/>
      <c r="J29" s="795"/>
      <c r="K29" s="795"/>
      <c r="L29" s="795"/>
      <c r="M29" s="795"/>
      <c r="N29" s="795"/>
      <c r="O29" s="795"/>
      <c r="P29" s="795"/>
      <c r="Q29" s="796"/>
    </row>
    <row r="31" spans="1:17" ht="3" customHeight="1">
      <c r="A31" s="64"/>
      <c r="B31" s="227"/>
      <c r="C31" s="227"/>
      <c r="D31" s="227"/>
      <c r="E31" s="227"/>
      <c r="F31" s="227"/>
      <c r="G31" s="227"/>
      <c r="H31" s="227"/>
      <c r="I31" s="227"/>
      <c r="J31" s="227"/>
      <c r="K31" s="227"/>
      <c r="L31" s="227"/>
      <c r="M31" s="227"/>
      <c r="N31" s="227"/>
      <c r="O31" s="227"/>
      <c r="P31" s="227"/>
      <c r="Q31" s="227"/>
    </row>
    <row r="32" spans="1:17" ht="12.75" hidden="1" customHeight="1">
      <c r="A32" s="64"/>
      <c r="B32" s="1096"/>
      <c r="C32" s="1096"/>
      <c r="D32" s="1096"/>
      <c r="E32" s="1096"/>
      <c r="F32" s="1096"/>
      <c r="G32" s="1096"/>
      <c r="H32" s="1096"/>
      <c r="I32" s="1096"/>
      <c r="J32" s="1096"/>
      <c r="K32" s="1096"/>
      <c r="L32" s="1096"/>
      <c r="M32" s="1096"/>
      <c r="N32" s="1096"/>
      <c r="O32" s="1096"/>
      <c r="P32" s="1096"/>
      <c r="Q32" s="1096"/>
    </row>
    <row r="33" spans="1:47" ht="22.5" customHeight="1">
      <c r="A33" s="64"/>
      <c r="B33" s="1118" t="s">
        <v>313</v>
      </c>
      <c r="C33" s="1118"/>
      <c r="D33" s="1118"/>
      <c r="E33" s="1118"/>
      <c r="F33" s="1118" t="s">
        <v>314</v>
      </c>
      <c r="G33" s="1118"/>
      <c r="H33" s="1118"/>
      <c r="I33" s="1118"/>
      <c r="J33" s="1118"/>
      <c r="K33" s="1118"/>
      <c r="L33" s="1118"/>
      <c r="M33" s="1118"/>
      <c r="N33" s="1118"/>
      <c r="O33" s="1118"/>
      <c r="P33" s="1118"/>
      <c r="Q33" s="1118"/>
    </row>
    <row r="34" spans="1:47" ht="22.5" customHeight="1">
      <c r="A34" s="64"/>
      <c r="B34" s="1118"/>
      <c r="C34" s="1118"/>
      <c r="D34" s="1118"/>
      <c r="E34" s="1118"/>
      <c r="F34" s="180"/>
      <c r="G34" s="550" t="s">
        <v>315</v>
      </c>
      <c r="H34" s="550"/>
      <c r="I34" s="551"/>
      <c r="J34" s="552" t="s">
        <v>79</v>
      </c>
      <c r="K34" s="550"/>
      <c r="L34" s="551"/>
      <c r="M34" s="1119" t="s">
        <v>316</v>
      </c>
      <c r="N34" s="1119"/>
      <c r="O34" s="552"/>
      <c r="P34" s="550" t="s">
        <v>317</v>
      </c>
      <c r="Q34" s="553"/>
      <c r="R34" s="64"/>
    </row>
    <row r="35" spans="1:47" ht="27" customHeight="1">
      <c r="A35" s="64"/>
      <c r="B35" s="554" t="s">
        <v>318</v>
      </c>
      <c r="C35" s="555"/>
      <c r="D35" s="555" t="s">
        <v>319</v>
      </c>
      <c r="E35" s="555"/>
      <c r="F35" s="556"/>
      <c r="G35" s="557"/>
      <c r="H35" s="557"/>
      <c r="I35" s="558"/>
      <c r="J35" s="556"/>
      <c r="K35" s="557"/>
      <c r="L35" s="558"/>
      <c r="M35" s="556"/>
      <c r="N35" s="558"/>
      <c r="O35" s="556"/>
      <c r="P35" s="557"/>
      <c r="Q35" s="559"/>
      <c r="R35" s="64"/>
    </row>
    <row r="36" spans="1:47" ht="27" customHeight="1">
      <c r="A36" s="64"/>
      <c r="B36" s="554" t="s">
        <v>320</v>
      </c>
      <c r="C36" s="555"/>
      <c r="D36" s="555" t="s">
        <v>319</v>
      </c>
      <c r="E36" s="555"/>
      <c r="F36" s="248"/>
      <c r="G36" s="560"/>
      <c r="H36" s="560"/>
      <c r="I36" s="561"/>
      <c r="J36" s="248"/>
      <c r="K36" s="560"/>
      <c r="L36" s="561"/>
      <c r="M36" s="248"/>
      <c r="N36" s="561"/>
      <c r="O36" s="248"/>
      <c r="P36" s="560"/>
      <c r="Q36" s="562"/>
      <c r="R36" s="64"/>
    </row>
    <row r="37" spans="1:47" ht="27" customHeight="1">
      <c r="A37" s="64"/>
      <c r="B37" s="563" t="s">
        <v>321</v>
      </c>
      <c r="C37" s="560"/>
      <c r="D37" s="560" t="s">
        <v>319</v>
      </c>
      <c r="E37" s="560"/>
      <c r="F37" s="248"/>
      <c r="G37" s="560"/>
      <c r="H37" s="560"/>
      <c r="I37" s="561"/>
      <c r="J37" s="248"/>
      <c r="K37" s="560"/>
      <c r="L37" s="561"/>
      <c r="M37" s="248"/>
      <c r="N37" s="561"/>
      <c r="O37" s="248"/>
      <c r="P37" s="560"/>
      <c r="Q37" s="562"/>
      <c r="R37" s="64"/>
    </row>
    <row r="38" spans="1:47" ht="27" customHeight="1">
      <c r="A38" s="64"/>
      <c r="B38" s="563" t="s">
        <v>322</v>
      </c>
      <c r="C38" s="560"/>
      <c r="D38" s="560" t="s">
        <v>319</v>
      </c>
      <c r="E38" s="560"/>
      <c r="F38" s="248"/>
      <c r="G38" s="560"/>
      <c r="H38" s="560"/>
      <c r="I38" s="561"/>
      <c r="J38" s="248"/>
      <c r="K38" s="560"/>
      <c r="L38" s="561"/>
      <c r="M38" s="248"/>
      <c r="N38" s="561"/>
      <c r="O38" s="248"/>
      <c r="P38" s="560"/>
      <c r="Q38" s="562"/>
      <c r="R38" s="64"/>
    </row>
    <row r="39" spans="1:47" ht="27" customHeight="1">
      <c r="A39" s="64"/>
      <c r="B39" s="563" t="s">
        <v>323</v>
      </c>
      <c r="C39" s="560"/>
      <c r="D39" s="560" t="s">
        <v>319</v>
      </c>
      <c r="E39" s="560"/>
      <c r="F39" s="248"/>
      <c r="G39" s="560"/>
      <c r="H39" s="560"/>
      <c r="I39" s="561"/>
      <c r="J39" s="248"/>
      <c r="K39" s="560"/>
      <c r="L39" s="561"/>
      <c r="M39" s="248"/>
      <c r="N39" s="561"/>
      <c r="O39" s="248"/>
      <c r="P39" s="560"/>
      <c r="Q39" s="562"/>
      <c r="R39" s="64"/>
    </row>
    <row r="40" spans="1:47" ht="27" customHeight="1">
      <c r="A40" s="64"/>
      <c r="B40" s="564" t="s">
        <v>185</v>
      </c>
      <c r="C40" s="565"/>
      <c r="D40" s="565" t="s">
        <v>319</v>
      </c>
      <c r="E40" s="565"/>
      <c r="F40" s="566"/>
      <c r="G40" s="565"/>
      <c r="H40" s="565"/>
      <c r="I40" s="567"/>
      <c r="J40" s="566"/>
      <c r="K40" s="565"/>
      <c r="L40" s="567"/>
      <c r="M40" s="566"/>
      <c r="N40" s="567"/>
      <c r="O40" s="566"/>
      <c r="P40" s="565"/>
      <c r="Q40" s="568"/>
      <c r="R40" s="64"/>
    </row>
    <row r="41" spans="1:47" ht="15" customHeight="1">
      <c r="A41" s="64"/>
      <c r="B41" s="140" t="s">
        <v>324</v>
      </c>
      <c r="C41" s="141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228"/>
    </row>
    <row r="42" spans="1:47" ht="15" customHeight="1">
      <c r="A42" s="64"/>
      <c r="B42" s="229"/>
      <c r="C42" s="64"/>
      <c r="D42" s="64"/>
      <c r="E42" s="64"/>
      <c r="F42" s="227"/>
      <c r="G42" s="227"/>
      <c r="H42" s="227"/>
      <c r="I42" s="227"/>
      <c r="J42" s="64"/>
      <c r="K42" s="64"/>
      <c r="L42" s="64"/>
      <c r="M42" s="64"/>
      <c r="N42" s="64"/>
      <c r="O42" s="64"/>
      <c r="P42" s="64"/>
      <c r="Q42" s="133"/>
    </row>
    <row r="43" spans="1:47" ht="15" customHeight="1">
      <c r="B43" s="132"/>
      <c r="C43" s="106"/>
      <c r="D43" s="106"/>
      <c r="E43" s="106"/>
      <c r="F43" s="106"/>
      <c r="G43" s="64"/>
      <c r="H43" s="64"/>
      <c r="I43" s="64"/>
      <c r="J43" s="64"/>
      <c r="K43" s="64"/>
      <c r="L43" s="64"/>
      <c r="M43" s="64" t="s">
        <v>67</v>
      </c>
      <c r="N43" s="64"/>
      <c r="O43" s="64"/>
      <c r="P43" s="64"/>
      <c r="Q43" s="133"/>
    </row>
    <row r="44" spans="1:47" ht="15" customHeight="1">
      <c r="B44" s="132"/>
      <c r="C44" s="106"/>
      <c r="D44" s="106"/>
      <c r="E44" s="106"/>
      <c r="F44" s="106"/>
      <c r="G44" s="3"/>
      <c r="H44" s="3"/>
      <c r="I44" s="3"/>
      <c r="J44" s="3"/>
      <c r="K44" s="3"/>
      <c r="L44" s="3"/>
      <c r="M44" s="3" t="s">
        <v>70</v>
      </c>
      <c r="N44" s="3"/>
      <c r="O44" s="3"/>
      <c r="P44" s="3"/>
      <c r="Q44" s="50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</row>
    <row r="45" spans="1:47" ht="15" customHeight="1">
      <c r="B45" s="132"/>
      <c r="C45" s="106"/>
      <c r="D45" s="106"/>
      <c r="E45" s="106"/>
      <c r="F45" s="106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133"/>
    </row>
    <row r="46" spans="1:47" ht="9" customHeight="1">
      <c r="B46" s="226"/>
      <c r="C46" s="173"/>
      <c r="D46" s="173"/>
      <c r="E46" s="173"/>
      <c r="F46" s="1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231"/>
    </row>
    <row r="48" spans="1:47" ht="15" customHeight="1">
      <c r="B48" s="569" t="s">
        <v>325</v>
      </c>
    </row>
  </sheetData>
  <mergeCells count="10">
    <mergeCell ref="B33:E34"/>
    <mergeCell ref="F33:Q33"/>
    <mergeCell ref="M34:N34"/>
    <mergeCell ref="F16:Q16"/>
    <mergeCell ref="B32:E32"/>
    <mergeCell ref="F32:H32"/>
    <mergeCell ref="I32:J32"/>
    <mergeCell ref="K32:L32"/>
    <mergeCell ref="M32:O32"/>
    <mergeCell ref="P32:Q32"/>
  </mergeCells>
  <pageMargins left="0.94488188976377963" right="0.19685039370078741" top="0.19685039370078741" bottom="0.19685039370078741" header="0.51181102362204722" footer="0.51181102362204722"/>
  <pageSetup paperSize="5" scale="80" firstPageNumber="0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B6C3-7711-4EB1-A958-38A2482045D3}">
  <sheetPr>
    <tabColor rgb="FF92D050"/>
  </sheetPr>
  <dimension ref="A1:M45"/>
  <sheetViews>
    <sheetView topLeftCell="B1" zoomScale="75" zoomScaleNormal="75" workbookViewId="0">
      <selection activeCell="E1" sqref="E1"/>
    </sheetView>
  </sheetViews>
  <sheetFormatPr baseColWidth="10" defaultRowHeight="12.5"/>
  <cols>
    <col min="1" max="1" width="0.7265625" customWidth="1"/>
    <col min="2" max="2" width="11.81640625" customWidth="1"/>
    <col min="3" max="3" width="37.453125" customWidth="1"/>
    <col min="4" max="4" width="13.1796875" customWidth="1"/>
    <col min="5" max="5" width="12" customWidth="1"/>
    <col min="6" max="6" width="12.7265625" customWidth="1"/>
    <col min="7" max="7" width="13.7265625" customWidth="1"/>
    <col min="8" max="8" width="16.26953125" customWidth="1"/>
    <col min="9" max="9" width="12" customWidth="1"/>
    <col min="10" max="10" width="13.1796875" customWidth="1"/>
    <col min="11" max="11" width="20.54296875" customWidth="1"/>
    <col min="12" max="12" width="22.54296875" customWidth="1"/>
    <col min="13" max="13" width="13.1796875" customWidth="1"/>
  </cols>
  <sheetData>
    <row r="1" spans="2:13" ht="9" customHeight="1">
      <c r="E1" s="3"/>
      <c r="F1" s="3"/>
      <c r="G1" s="3"/>
      <c r="H1" s="3"/>
      <c r="I1" s="3"/>
      <c r="J1" s="3"/>
      <c r="K1" s="3"/>
    </row>
    <row r="2" spans="2:13" ht="15.75" customHeight="1">
      <c r="E2" s="258" t="s">
        <v>0</v>
      </c>
      <c r="F2" s="56"/>
      <c r="G2" s="56"/>
      <c r="H2" s="258"/>
      <c r="I2" s="56"/>
      <c r="J2" s="56"/>
      <c r="K2" s="56"/>
    </row>
    <row r="3" spans="2:13" ht="15" customHeight="1">
      <c r="D3" s="570"/>
      <c r="E3" s="1122"/>
      <c r="F3" s="1122"/>
      <c r="G3" s="1122"/>
      <c r="H3" s="1122"/>
      <c r="I3" s="3"/>
      <c r="J3" s="3"/>
      <c r="K3" s="3"/>
    </row>
    <row r="4" spans="2:13" ht="12.75" customHeight="1">
      <c r="D4" s="571"/>
      <c r="E4" s="572"/>
      <c r="F4" s="572"/>
      <c r="G4" s="573"/>
      <c r="H4" s="573"/>
      <c r="I4" s="574"/>
      <c r="J4" s="574"/>
      <c r="K4" s="574"/>
      <c r="L4" s="574"/>
      <c r="M4" s="571"/>
    </row>
    <row r="5" spans="2:13">
      <c r="E5" s="255"/>
      <c r="F5" s="46"/>
      <c r="G5" s="46"/>
      <c r="H5" s="46"/>
      <c r="I5" s="47"/>
      <c r="J5" s="3"/>
    </row>
    <row r="6" spans="2:13" ht="15.5">
      <c r="E6" s="48"/>
      <c r="F6" s="256" t="s">
        <v>34</v>
      </c>
      <c r="G6" s="256"/>
      <c r="H6" s="3"/>
      <c r="I6" s="50"/>
      <c r="J6" s="3"/>
    </row>
    <row r="7" spans="2:13" ht="15.5">
      <c r="E7" s="48"/>
      <c r="F7" s="256" t="s">
        <v>326</v>
      </c>
      <c r="G7" s="256"/>
      <c r="H7" s="3"/>
      <c r="I7" s="50"/>
      <c r="J7" s="3"/>
      <c r="K7" s="59"/>
    </row>
    <row r="8" spans="2:13" ht="8.25" customHeight="1">
      <c r="E8" s="48"/>
      <c r="F8" s="256"/>
      <c r="G8" s="256"/>
      <c r="H8" s="3"/>
      <c r="I8" s="50"/>
      <c r="J8" s="3"/>
      <c r="K8" s="59"/>
    </row>
    <row r="9" spans="2:13" ht="7.5" customHeight="1">
      <c r="E9" s="51"/>
      <c r="F9" s="53"/>
      <c r="G9" s="53"/>
      <c r="H9" s="53"/>
      <c r="I9" s="54"/>
      <c r="J9" s="3"/>
    </row>
    <row r="11" spans="2:13" ht="13">
      <c r="B11" s="8" t="s">
        <v>36</v>
      </c>
      <c r="C11" s="12"/>
      <c r="D11" s="13"/>
      <c r="E11" s="12" t="s">
        <v>74</v>
      </c>
      <c r="F11" s="13"/>
      <c r="G11" s="15" t="s">
        <v>570</v>
      </c>
      <c r="H11" s="15"/>
      <c r="I11" s="15"/>
      <c r="J11" s="8"/>
      <c r="K11" s="324"/>
    </row>
    <row r="12" spans="2:13" ht="13">
      <c r="B12" s="358" t="str">
        <f>+'CDA1'!A8</f>
        <v>INSTITUCIÓN EDUCATIVA  AGROPISCÍCOLA LAS COMPUERTAS</v>
      </c>
      <c r="C12" s="56"/>
      <c r="D12" s="359"/>
      <c r="E12" s="56" t="str">
        <f>+'CDA1'!I7</f>
        <v>900678838-1</v>
      </c>
      <c r="F12" s="359"/>
      <c r="G12" s="15" t="s">
        <v>503</v>
      </c>
      <c r="H12" s="15"/>
      <c r="I12" s="15"/>
      <c r="J12" s="358" t="s">
        <v>542</v>
      </c>
      <c r="K12" s="329"/>
    </row>
    <row r="13" spans="2:13" ht="13">
      <c r="B13" s="23" t="str">
        <f>+'CDA1'!A9</f>
        <v>NOMBRE REP. LEGAL EDGARDO ESPITER LOPEZ</v>
      </c>
      <c r="C13" s="15"/>
      <c r="D13" s="15"/>
      <c r="E13" s="15"/>
      <c r="F13" s="16"/>
      <c r="G13" s="15" t="s">
        <v>501</v>
      </c>
      <c r="H13" s="15"/>
      <c r="I13" s="15"/>
      <c r="J13" s="17"/>
      <c r="K13" s="336"/>
    </row>
    <row r="14" spans="2:13">
      <c r="D14" s="575"/>
      <c r="E14" s="575"/>
      <c r="F14" s="575"/>
      <c r="G14" s="575"/>
      <c r="H14" s="575"/>
      <c r="I14" s="575"/>
      <c r="J14" s="575"/>
      <c r="K14" s="575"/>
      <c r="L14" s="575"/>
      <c r="M14" s="575"/>
    </row>
    <row r="15" spans="2:13" ht="13">
      <c r="B15" s="576"/>
      <c r="C15" s="47"/>
      <c r="D15" s="577"/>
      <c r="E15" s="578"/>
      <c r="F15" s="578"/>
      <c r="G15" s="578"/>
      <c r="H15" s="578"/>
      <c r="I15" s="578"/>
      <c r="J15" s="578"/>
      <c r="K15" s="578"/>
      <c r="L15" s="579" t="s">
        <v>327</v>
      </c>
      <c r="M15" s="577"/>
    </row>
    <row r="16" spans="2:13" ht="13">
      <c r="B16" s="580" t="s">
        <v>328</v>
      </c>
      <c r="C16" s="50"/>
      <c r="D16" s="581" t="s">
        <v>329</v>
      </c>
      <c r="E16" s="582" t="s">
        <v>330</v>
      </c>
      <c r="F16" s="582" t="s">
        <v>331</v>
      </c>
      <c r="G16" s="583" t="s">
        <v>332</v>
      </c>
      <c r="H16" s="583" t="s">
        <v>333</v>
      </c>
      <c r="I16" s="583" t="s">
        <v>334</v>
      </c>
      <c r="J16" s="583" t="s">
        <v>335</v>
      </c>
      <c r="K16" s="583" t="s">
        <v>336</v>
      </c>
      <c r="L16" s="584" t="s">
        <v>337</v>
      </c>
      <c r="M16" s="581"/>
    </row>
    <row r="17" spans="1:13" ht="13">
      <c r="B17" s="580"/>
      <c r="C17" s="50"/>
      <c r="D17" s="581" t="s">
        <v>338</v>
      </c>
      <c r="E17" s="582" t="s">
        <v>339</v>
      </c>
      <c r="F17" s="582" t="s">
        <v>340</v>
      </c>
      <c r="G17" s="583" t="s">
        <v>341</v>
      </c>
      <c r="H17" s="583" t="s">
        <v>342</v>
      </c>
      <c r="I17" s="583" t="s">
        <v>343</v>
      </c>
      <c r="J17" s="582"/>
      <c r="K17" s="582" t="s">
        <v>344</v>
      </c>
      <c r="L17" s="288" t="s">
        <v>345</v>
      </c>
      <c r="M17" s="581"/>
    </row>
    <row r="18" spans="1:13" ht="13">
      <c r="B18" s="529"/>
      <c r="C18" s="54"/>
      <c r="D18" s="585" t="s">
        <v>346</v>
      </c>
      <c r="E18" s="586" t="s">
        <v>347</v>
      </c>
      <c r="F18" s="586" t="s">
        <v>227</v>
      </c>
      <c r="G18" s="587" t="s">
        <v>227</v>
      </c>
      <c r="H18" s="587" t="s">
        <v>348</v>
      </c>
      <c r="I18" s="586"/>
      <c r="J18" s="586"/>
      <c r="K18" s="586"/>
      <c r="L18" s="302"/>
      <c r="M18" s="585"/>
    </row>
    <row r="19" spans="1:13" ht="33" customHeight="1">
      <c r="B19" s="588"/>
      <c r="C19" s="589" t="s">
        <v>349</v>
      </c>
      <c r="D19" s="590"/>
      <c r="E19" s="590"/>
      <c r="F19" s="590"/>
      <c r="G19" s="590"/>
      <c r="H19" s="590"/>
      <c r="I19" s="590"/>
      <c r="J19" s="590"/>
      <c r="K19" s="590"/>
      <c r="L19" s="255" t="s">
        <v>350</v>
      </c>
      <c r="M19" s="591"/>
    </row>
    <row r="20" spans="1:13" ht="33" customHeight="1">
      <c r="B20" s="592" t="s">
        <v>351</v>
      </c>
      <c r="C20" s="593" t="s">
        <v>352</v>
      </c>
      <c r="D20" s="594"/>
      <c r="E20" s="594"/>
      <c r="F20" s="594"/>
      <c r="G20" s="594"/>
      <c r="H20" s="594"/>
      <c r="I20" s="594"/>
      <c r="J20" s="594"/>
      <c r="K20" s="594"/>
      <c r="L20" s="48" t="s">
        <v>353</v>
      </c>
      <c r="M20" s="592"/>
    </row>
    <row r="21" spans="1:13" ht="33" customHeight="1">
      <c r="B21" s="592" t="s">
        <v>354</v>
      </c>
      <c r="C21" s="593" t="s">
        <v>355</v>
      </c>
      <c r="D21" s="594"/>
      <c r="E21" s="594"/>
      <c r="F21" s="594"/>
      <c r="G21" s="594"/>
      <c r="H21" s="594"/>
      <c r="I21" s="594"/>
      <c r="J21" s="594"/>
      <c r="K21" s="594"/>
      <c r="L21" s="51" t="s">
        <v>356</v>
      </c>
      <c r="M21" s="301"/>
    </row>
    <row r="22" spans="1:13" ht="33" customHeight="1">
      <c r="B22" s="592" t="s">
        <v>357</v>
      </c>
      <c r="C22" s="593" t="s">
        <v>358</v>
      </c>
      <c r="D22" s="594"/>
      <c r="E22" s="594"/>
      <c r="F22" s="594"/>
      <c r="G22" s="594"/>
      <c r="H22" s="594"/>
      <c r="I22" s="594"/>
      <c r="J22" s="594"/>
      <c r="K22" s="594"/>
      <c r="L22" s="255" t="s">
        <v>359</v>
      </c>
      <c r="M22" s="591"/>
    </row>
    <row r="23" spans="1:13" ht="33" customHeight="1">
      <c r="A23" s="595"/>
      <c r="B23" s="596"/>
      <c r="C23" s="593" t="s">
        <v>360</v>
      </c>
      <c r="D23" s="594"/>
      <c r="E23" s="594"/>
      <c r="F23" s="594"/>
      <c r="G23" s="594"/>
      <c r="H23" s="594"/>
      <c r="I23" s="594"/>
      <c r="J23" s="594"/>
      <c r="K23" s="594"/>
      <c r="L23" s="51" t="s">
        <v>76</v>
      </c>
      <c r="M23" s="301"/>
    </row>
    <row r="24" spans="1:13" ht="12.75" hidden="1" customHeight="1">
      <c r="A24" s="595"/>
      <c r="C24" s="597" t="s">
        <v>60</v>
      </c>
      <c r="D24" s="598"/>
      <c r="E24" s="598"/>
      <c r="F24" s="598"/>
      <c r="G24" s="598"/>
      <c r="H24" s="598"/>
      <c r="I24" s="598"/>
      <c r="J24" s="598"/>
      <c r="K24" s="598"/>
      <c r="L24" s="497" t="s">
        <v>361</v>
      </c>
      <c r="M24" s="599"/>
    </row>
    <row r="25" spans="1:13" ht="41.25" customHeight="1">
      <c r="A25" s="595"/>
      <c r="B25" s="600" t="s">
        <v>210</v>
      </c>
      <c r="C25" s="601"/>
      <c r="D25" s="46"/>
      <c r="E25" s="46"/>
      <c r="F25" s="46"/>
      <c r="G25" s="46"/>
      <c r="H25" s="46"/>
      <c r="I25" s="46"/>
      <c r="J25" s="46"/>
      <c r="K25" s="47"/>
      <c r="L25" s="268" t="s">
        <v>362</v>
      </c>
      <c r="M25" s="599"/>
    </row>
    <row r="26" spans="1:13" ht="21.75" customHeight="1">
      <c r="B26" s="602"/>
      <c r="C26" s="3"/>
      <c r="D26" s="3"/>
      <c r="E26" s="3"/>
      <c r="F26" s="3"/>
      <c r="G26" s="3"/>
      <c r="H26" s="3"/>
      <c r="I26" s="3"/>
      <c r="J26" s="3"/>
      <c r="K26" s="50"/>
      <c r="L26" s="46" t="s">
        <v>363</v>
      </c>
      <c r="M26" s="591"/>
    </row>
    <row r="27" spans="1:13" ht="21" customHeight="1">
      <c r="B27" s="48"/>
      <c r="C27" s="3"/>
      <c r="D27" s="3"/>
      <c r="E27" s="3"/>
      <c r="F27" s="3"/>
      <c r="G27" s="3"/>
      <c r="H27" s="3"/>
      <c r="I27" s="3"/>
      <c r="J27" s="3"/>
      <c r="K27" s="50"/>
      <c r="L27" s="53" t="s">
        <v>364</v>
      </c>
      <c r="M27" s="301"/>
    </row>
    <row r="28" spans="1:13" ht="42" customHeight="1">
      <c r="B28" s="51"/>
      <c r="C28" s="53"/>
      <c r="D28" s="53"/>
      <c r="E28" s="53"/>
      <c r="F28" s="53"/>
      <c r="G28" s="53"/>
      <c r="H28" s="53"/>
      <c r="I28" s="53"/>
      <c r="J28" s="53"/>
      <c r="K28" s="54"/>
      <c r="L28" s="46" t="s">
        <v>60</v>
      </c>
      <c r="M28" s="591"/>
    </row>
    <row r="29" spans="1:13">
      <c r="B29" s="48"/>
      <c r="C29" s="3"/>
      <c r="D29" s="3"/>
      <c r="E29" s="3"/>
      <c r="F29" s="3"/>
      <c r="G29" s="3"/>
      <c r="H29" s="3"/>
      <c r="I29" s="3"/>
      <c r="J29" s="3"/>
      <c r="K29" s="3"/>
      <c r="L29" s="46"/>
      <c r="M29" s="47"/>
    </row>
    <row r="30" spans="1:13">
      <c r="B30" s="48"/>
      <c r="C30" s="3"/>
      <c r="D30" s="3"/>
      <c r="E30" s="3"/>
      <c r="F30" s="3"/>
      <c r="G30" s="3"/>
      <c r="H30" s="3"/>
      <c r="I30" s="3"/>
      <c r="J30" s="3"/>
      <c r="K30" s="3"/>
      <c r="L30" s="3"/>
      <c r="M30" s="50"/>
    </row>
    <row r="31" spans="1:13">
      <c r="B31" s="48"/>
      <c r="C31" s="3"/>
      <c r="D31" s="3"/>
      <c r="E31" s="3"/>
      <c r="F31" s="3"/>
      <c r="G31" s="3"/>
      <c r="H31" s="3"/>
      <c r="I31" s="3"/>
      <c r="J31" s="3"/>
      <c r="K31" s="3"/>
      <c r="L31" s="3"/>
      <c r="M31" s="50"/>
    </row>
    <row r="32" spans="1:13">
      <c r="B32" s="48"/>
      <c r="C32" s="3"/>
      <c r="D32" s="3"/>
      <c r="E32" s="3"/>
      <c r="F32" s="3"/>
      <c r="G32" s="3"/>
      <c r="H32" s="3"/>
      <c r="I32" s="3"/>
      <c r="J32" s="3"/>
      <c r="K32" s="3"/>
      <c r="L32" s="3"/>
      <c r="M32" s="50"/>
    </row>
    <row r="33" spans="2:13">
      <c r="B33" s="48"/>
      <c r="C33" s="3"/>
      <c r="D33" s="3"/>
      <c r="E33" s="3"/>
      <c r="F33" s="3"/>
      <c r="G33" s="3"/>
      <c r="H33" s="3"/>
      <c r="I33" s="3"/>
      <c r="J33" s="3"/>
      <c r="K33" s="3"/>
      <c r="L33" s="3"/>
      <c r="M33" s="50"/>
    </row>
    <row r="34" spans="2:13">
      <c r="B34" s="48"/>
      <c r="C34" s="3" t="s">
        <v>365</v>
      </c>
      <c r="D34" s="3"/>
      <c r="E34" s="3"/>
      <c r="F34" s="3"/>
      <c r="G34" s="3"/>
      <c r="H34" s="3"/>
      <c r="I34" s="3"/>
      <c r="J34" s="3"/>
      <c r="K34" s="3" t="s">
        <v>366</v>
      </c>
      <c r="L34" s="3"/>
      <c r="M34" s="50"/>
    </row>
    <row r="35" spans="2:13">
      <c r="B35" s="48"/>
      <c r="C35" s="3" t="s">
        <v>367</v>
      </c>
      <c r="D35" s="3"/>
      <c r="E35" s="3"/>
      <c r="F35" s="3"/>
      <c r="G35" s="3"/>
      <c r="H35" s="3"/>
      <c r="I35" s="3"/>
      <c r="J35" s="3"/>
      <c r="K35" s="3" t="s">
        <v>368</v>
      </c>
      <c r="L35" s="3"/>
      <c r="M35" s="50"/>
    </row>
    <row r="36" spans="2:13">
      <c r="B36" s="48"/>
      <c r="C36" s="3"/>
      <c r="D36" s="3"/>
      <c r="E36" s="3"/>
      <c r="F36" s="3"/>
      <c r="G36" s="3"/>
      <c r="H36" s="3"/>
      <c r="I36" s="3"/>
      <c r="J36" s="3"/>
      <c r="K36" s="3"/>
      <c r="L36" s="3"/>
      <c r="M36" s="50"/>
    </row>
    <row r="37" spans="2:13">
      <c r="B37" s="51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4"/>
    </row>
    <row r="39" spans="2:13" ht="13">
      <c r="B39" s="6" t="s">
        <v>369</v>
      </c>
      <c r="C39" s="59"/>
    </row>
    <row r="40" spans="2:13">
      <c r="B40" s="603"/>
    </row>
    <row r="45" spans="2:13">
      <c r="B45" s="595"/>
    </row>
  </sheetData>
  <mergeCells count="1">
    <mergeCell ref="E3:H3"/>
  </mergeCells>
  <pageMargins left="0.78740157480314965" right="0.19685039370078741" top="0.59055118110236227" bottom="0.59055118110236227" header="0.51181102362204722" footer="0.51181102362204722"/>
  <pageSetup paperSize="5" scale="75" firstPageNumber="0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A32A-1FE0-445F-8DFA-F26893A0D063}">
  <sheetPr>
    <tabColor rgb="FF92D050"/>
  </sheetPr>
  <dimension ref="A1:O50"/>
  <sheetViews>
    <sheetView zoomScaleNormal="100" workbookViewId="0">
      <selection activeCell="E15" sqref="E15"/>
    </sheetView>
  </sheetViews>
  <sheetFormatPr baseColWidth="10" defaultRowHeight="12.5"/>
  <cols>
    <col min="1" max="1" width="3.1796875" customWidth="1"/>
    <col min="2" max="2" width="10.54296875" customWidth="1"/>
    <col min="3" max="3" width="20" customWidth="1"/>
    <col min="4" max="4" width="68.1796875" customWidth="1"/>
    <col min="5" max="5" width="14.453125" bestFit="1" customWidth="1"/>
    <col min="6" max="6" width="10" customWidth="1"/>
    <col min="7" max="7" width="19.54296875" customWidth="1"/>
    <col min="8" max="8" width="14" customWidth="1"/>
    <col min="9" max="9" width="8" customWidth="1"/>
    <col min="10" max="10" width="12" customWidth="1"/>
    <col min="11" max="11" width="8.1796875" customWidth="1"/>
    <col min="12" max="12" width="8.26953125" customWidth="1"/>
    <col min="13" max="13" width="9.26953125" customWidth="1"/>
    <col min="14" max="14" width="15.453125" bestFit="1" customWidth="1"/>
    <col min="15" max="15" width="11.81640625" bestFit="1" customWidth="1"/>
  </cols>
  <sheetData>
    <row r="1" spans="1:15" ht="18">
      <c r="D1" s="1116" t="s">
        <v>0</v>
      </c>
      <c r="E1" s="1116"/>
      <c r="F1" s="1116"/>
      <c r="G1" s="1116"/>
      <c r="H1" s="1116"/>
      <c r="I1" s="1116"/>
      <c r="J1" s="1116"/>
      <c r="K1" s="1116"/>
    </row>
    <row r="3" spans="1:15" ht="18">
      <c r="D3" s="1123" t="s">
        <v>1</v>
      </c>
      <c r="E3" s="1123"/>
      <c r="F3" s="1123"/>
      <c r="G3" s="1123"/>
      <c r="H3" s="1123"/>
      <c r="I3" s="1123"/>
      <c r="J3" s="1123"/>
      <c r="K3" s="1123"/>
    </row>
    <row r="4" spans="1:15" ht="18">
      <c r="D4" s="1124" t="s">
        <v>370</v>
      </c>
      <c r="E4" s="1124"/>
      <c r="F4" s="1124"/>
      <c r="G4" s="1124"/>
      <c r="H4" s="1124"/>
      <c r="I4" s="1124"/>
      <c r="J4" s="1124"/>
      <c r="K4" s="1124"/>
    </row>
    <row r="7" spans="1:15" ht="13">
      <c r="B7" s="23"/>
      <c r="C7" s="268"/>
      <c r="D7" s="268"/>
      <c r="E7" s="268"/>
      <c r="F7" s="268"/>
      <c r="G7" s="23" t="s">
        <v>5</v>
      </c>
      <c r="H7" s="268"/>
      <c r="I7" s="268"/>
      <c r="J7" s="15" t="s">
        <v>497</v>
      </c>
      <c r="K7" s="268"/>
      <c r="L7" s="15"/>
      <c r="M7" s="270"/>
    </row>
    <row r="9" spans="1:15">
      <c r="B9" s="604" t="s">
        <v>371</v>
      </c>
      <c r="C9" s="309"/>
      <c r="D9" s="309"/>
      <c r="E9" s="605" t="s">
        <v>242</v>
      </c>
      <c r="F9" s="605" t="s">
        <v>371</v>
      </c>
      <c r="G9" s="605"/>
      <c r="H9" s="605" t="s">
        <v>371</v>
      </c>
      <c r="I9" s="1125" t="s">
        <v>372</v>
      </c>
      <c r="J9" s="1125"/>
      <c r="K9" s="1125"/>
      <c r="L9" s="1125"/>
      <c r="M9" s="1125"/>
    </row>
    <row r="10" spans="1:15">
      <c r="B10" s="821" t="s">
        <v>373</v>
      </c>
      <c r="C10" s="746" t="s">
        <v>374</v>
      </c>
      <c r="D10" s="746" t="s">
        <v>375</v>
      </c>
      <c r="E10" s="746" t="s">
        <v>376</v>
      </c>
      <c r="F10" s="746" t="s">
        <v>376</v>
      </c>
      <c r="G10" s="746" t="s">
        <v>377</v>
      </c>
      <c r="H10" s="746" t="s">
        <v>378</v>
      </c>
      <c r="I10" s="605" t="s">
        <v>379</v>
      </c>
      <c r="J10" s="605" t="s">
        <v>380</v>
      </c>
      <c r="K10" s="605" t="s">
        <v>381</v>
      </c>
      <c r="L10" s="605" t="s">
        <v>382</v>
      </c>
      <c r="M10" s="605" t="s">
        <v>515</v>
      </c>
    </row>
    <row r="11" spans="1:15">
      <c r="A11" s="837">
        <v>1</v>
      </c>
      <c r="B11" s="854"/>
      <c r="C11" s="843"/>
      <c r="D11" s="859"/>
      <c r="E11" s="855"/>
      <c r="F11" s="836"/>
      <c r="G11" s="830"/>
      <c r="H11" s="843"/>
      <c r="I11" s="869"/>
      <c r="J11" s="870"/>
      <c r="K11" s="869"/>
      <c r="L11" s="869"/>
      <c r="M11" s="871"/>
      <c r="N11" s="872"/>
      <c r="O11" s="873"/>
    </row>
    <row r="12" spans="1:15">
      <c r="A12" s="837">
        <v>2</v>
      </c>
      <c r="B12" s="854"/>
      <c r="C12" s="843"/>
      <c r="D12" s="859"/>
      <c r="E12" s="856"/>
      <c r="F12" s="836"/>
      <c r="G12" s="830"/>
      <c r="H12" s="874"/>
      <c r="I12" s="875"/>
      <c r="J12" s="876"/>
      <c r="K12" s="875"/>
      <c r="L12" s="875"/>
      <c r="M12" s="877"/>
      <c r="N12" s="872"/>
      <c r="O12" s="873"/>
    </row>
    <row r="13" spans="1:15">
      <c r="A13" s="837">
        <v>3</v>
      </c>
      <c r="B13" s="854"/>
      <c r="C13" s="843"/>
      <c r="D13" s="859"/>
      <c r="E13" s="856"/>
      <c r="F13" s="836"/>
      <c r="G13" s="830"/>
      <c r="H13" s="878"/>
      <c r="I13" s="879"/>
      <c r="J13" s="878"/>
      <c r="K13" s="880"/>
      <c r="L13" s="880"/>
      <c r="M13" s="881"/>
      <c r="N13" s="872"/>
      <c r="O13" s="873"/>
    </row>
    <row r="14" spans="1:15">
      <c r="A14" s="837">
        <v>4</v>
      </c>
      <c r="B14" s="854"/>
      <c r="C14" s="843"/>
      <c r="D14" s="859"/>
      <c r="E14" s="856"/>
      <c r="F14" s="836"/>
      <c r="G14" s="830"/>
      <c r="H14" s="857"/>
      <c r="I14" s="882"/>
      <c r="J14" s="883"/>
      <c r="K14" s="882"/>
      <c r="L14" s="882"/>
      <c r="M14" s="884"/>
      <c r="N14" s="872"/>
      <c r="O14" s="873"/>
    </row>
    <row r="15" spans="1:15">
      <c r="A15" s="837">
        <v>5</v>
      </c>
      <c r="B15" s="854"/>
      <c r="C15" s="843"/>
      <c r="D15" s="859"/>
      <c r="E15" s="856"/>
      <c r="F15" s="836"/>
      <c r="G15" s="830"/>
      <c r="H15" s="843"/>
      <c r="I15" s="885"/>
      <c r="J15" s="886"/>
      <c r="K15" s="885"/>
      <c r="L15" s="885"/>
      <c r="M15" s="887"/>
      <c r="N15" s="872"/>
      <c r="O15" s="873"/>
    </row>
    <row r="16" spans="1:15" ht="12" customHeight="1">
      <c r="A16" s="837">
        <v>6</v>
      </c>
      <c r="B16" s="854"/>
      <c r="C16" s="843"/>
      <c r="D16" s="838"/>
      <c r="E16" s="856"/>
      <c r="F16" s="836"/>
      <c r="G16" s="830"/>
      <c r="H16" s="843"/>
      <c r="I16" s="885"/>
      <c r="J16" s="886"/>
      <c r="K16" s="885"/>
      <c r="L16" s="885"/>
      <c r="M16" s="888"/>
      <c r="N16" s="872"/>
      <c r="O16" s="873"/>
    </row>
    <row r="17" spans="1:15" ht="20" customHeight="1">
      <c r="A17" s="837">
        <v>7</v>
      </c>
      <c r="B17" s="854"/>
      <c r="C17" s="843"/>
      <c r="D17" s="838"/>
      <c r="E17" s="856"/>
      <c r="F17" s="836"/>
      <c r="G17" s="830"/>
      <c r="H17" s="843"/>
      <c r="I17" s="885"/>
      <c r="J17" s="889"/>
      <c r="K17" s="885"/>
      <c r="L17" s="885"/>
      <c r="M17" s="888"/>
      <c r="N17" s="872"/>
      <c r="O17" s="873"/>
    </row>
    <row r="18" spans="1:15">
      <c r="A18" s="837">
        <v>8</v>
      </c>
      <c r="B18" s="854"/>
      <c r="C18" s="843"/>
      <c r="D18" s="838"/>
      <c r="E18" s="856"/>
      <c r="F18" s="836"/>
      <c r="G18" s="830"/>
      <c r="H18" s="843"/>
      <c r="I18" s="885"/>
      <c r="J18" s="886"/>
      <c r="K18" s="885"/>
      <c r="L18" s="885"/>
      <c r="M18" s="888"/>
      <c r="N18" s="872"/>
      <c r="O18" s="873"/>
    </row>
    <row r="19" spans="1:15">
      <c r="A19" s="837">
        <v>9</v>
      </c>
      <c r="B19" s="854"/>
      <c r="C19" s="843"/>
      <c r="D19" s="838"/>
      <c r="E19" s="856"/>
      <c r="F19" s="836"/>
      <c r="G19" s="830"/>
      <c r="H19" s="843"/>
      <c r="I19" s="885"/>
      <c r="J19" s="886"/>
      <c r="K19" s="885"/>
      <c r="L19" s="885"/>
      <c r="M19" s="888"/>
      <c r="N19" s="872"/>
      <c r="O19" s="873"/>
    </row>
    <row r="20" spans="1:15">
      <c r="A20" s="837">
        <v>10</v>
      </c>
      <c r="B20" s="854"/>
      <c r="C20" s="843"/>
      <c r="D20" s="838"/>
      <c r="E20" s="856"/>
      <c r="F20" s="836"/>
      <c r="G20" s="830"/>
      <c r="H20" s="843"/>
      <c r="I20" s="885"/>
      <c r="J20" s="886"/>
      <c r="K20" s="885"/>
      <c r="L20" s="885"/>
      <c r="M20" s="888"/>
      <c r="N20" s="872"/>
      <c r="O20" s="873"/>
    </row>
    <row r="21" spans="1:15">
      <c r="A21" s="837">
        <v>11</v>
      </c>
      <c r="B21" s="854"/>
      <c r="C21" s="843"/>
      <c r="D21" s="860"/>
      <c r="E21" s="856"/>
      <c r="F21" s="836"/>
      <c r="G21" s="830"/>
      <c r="H21" s="843"/>
      <c r="I21" s="885"/>
      <c r="J21" s="889"/>
      <c r="K21" s="885"/>
      <c r="L21" s="885"/>
      <c r="M21" s="888"/>
      <c r="N21" s="872"/>
      <c r="O21" s="873"/>
    </row>
    <row r="22" spans="1:15">
      <c r="A22" s="837">
        <v>12</v>
      </c>
      <c r="B22" s="854"/>
      <c r="C22" s="843"/>
      <c r="D22" s="838"/>
      <c r="E22" s="856"/>
      <c r="F22" s="836"/>
      <c r="G22" s="830"/>
      <c r="H22" s="843"/>
      <c r="I22" s="885"/>
      <c r="J22" s="886"/>
      <c r="K22" s="885"/>
      <c r="L22" s="885"/>
      <c r="M22" s="888"/>
      <c r="N22" s="872"/>
      <c r="O22" s="873"/>
    </row>
    <row r="23" spans="1:15">
      <c r="A23" s="837">
        <v>13</v>
      </c>
      <c r="B23" s="854"/>
      <c r="C23" s="843"/>
      <c r="D23" s="838"/>
      <c r="E23" s="856"/>
      <c r="F23" s="836"/>
      <c r="G23" s="830"/>
      <c r="H23" s="843"/>
      <c r="I23" s="885"/>
      <c r="J23" s="886"/>
      <c r="K23" s="885"/>
      <c r="L23" s="885"/>
      <c r="M23" s="888"/>
      <c r="N23" s="872"/>
      <c r="O23" s="873"/>
    </row>
    <row r="24" spans="1:15">
      <c r="A24" s="837">
        <v>14</v>
      </c>
      <c r="B24" s="854"/>
      <c r="C24" s="843"/>
      <c r="D24" s="838"/>
      <c r="E24" s="856"/>
      <c r="F24" s="836"/>
      <c r="G24" s="830"/>
      <c r="H24" s="843"/>
      <c r="I24" s="885"/>
      <c r="J24" s="886"/>
      <c r="K24" s="885"/>
      <c r="L24" s="885"/>
      <c r="M24" s="888"/>
      <c r="N24" s="872"/>
      <c r="O24" s="873"/>
    </row>
    <row r="25" spans="1:15">
      <c r="A25" s="837">
        <v>15</v>
      </c>
      <c r="B25" s="854"/>
      <c r="C25" s="843"/>
      <c r="D25" s="838"/>
      <c r="E25" s="856"/>
      <c r="F25" s="836"/>
      <c r="G25" s="830"/>
      <c r="H25" s="843"/>
      <c r="I25" s="885"/>
      <c r="J25" s="886"/>
      <c r="K25" s="885"/>
      <c r="L25" s="885"/>
      <c r="M25" s="888"/>
      <c r="N25" s="872"/>
      <c r="O25" s="873"/>
    </row>
    <row r="26" spans="1:15">
      <c r="A26" s="837">
        <v>16</v>
      </c>
      <c r="B26" s="854"/>
      <c r="C26" s="843"/>
      <c r="D26" s="838"/>
      <c r="E26" s="856"/>
      <c r="F26" s="836"/>
      <c r="G26" s="830"/>
      <c r="H26" s="843"/>
      <c r="I26" s="885"/>
      <c r="J26" s="889"/>
      <c r="K26" s="885"/>
      <c r="L26" s="885"/>
      <c r="M26" s="888"/>
      <c r="N26" s="872"/>
      <c r="O26" s="873"/>
    </row>
    <row r="27" spans="1:15">
      <c r="A27" s="837">
        <v>17</v>
      </c>
      <c r="B27" s="854"/>
      <c r="C27" s="843"/>
      <c r="D27" s="838"/>
      <c r="E27" s="856"/>
      <c r="F27" s="836"/>
      <c r="G27" s="830"/>
      <c r="H27" s="843"/>
      <c r="I27" s="885"/>
      <c r="J27" s="886"/>
      <c r="K27" s="885"/>
      <c r="L27" s="885"/>
      <c r="M27" s="888"/>
      <c r="N27" s="872"/>
      <c r="O27" s="873"/>
    </row>
    <row r="28" spans="1:15" ht="29.25" customHeight="1">
      <c r="A28" s="837">
        <v>18</v>
      </c>
      <c r="B28" s="854"/>
      <c r="C28" s="843"/>
      <c r="D28" s="838"/>
      <c r="E28" s="856"/>
      <c r="F28" s="836"/>
      <c r="G28" s="830"/>
      <c r="H28" s="843"/>
      <c r="I28" s="885"/>
      <c r="J28" s="886"/>
      <c r="K28" s="885"/>
      <c r="L28" s="885"/>
      <c r="M28" s="888"/>
      <c r="N28" s="872"/>
      <c r="O28" s="873"/>
    </row>
    <row r="29" spans="1:15" ht="16.5" customHeight="1">
      <c r="A29" s="837">
        <v>19</v>
      </c>
      <c r="B29" s="854"/>
      <c r="C29" s="843"/>
      <c r="D29" s="860"/>
      <c r="E29" s="856"/>
      <c r="F29" s="836"/>
      <c r="G29" s="830"/>
      <c r="H29" s="843"/>
      <c r="I29" s="840"/>
      <c r="J29" s="841"/>
      <c r="K29" s="840"/>
      <c r="L29" s="840"/>
      <c r="M29" s="842"/>
      <c r="O29" s="835"/>
    </row>
    <row r="30" spans="1:15" ht="15" customHeight="1">
      <c r="A30" s="837">
        <v>20</v>
      </c>
      <c r="B30" s="854"/>
      <c r="C30" s="843"/>
      <c r="D30" s="838"/>
      <c r="E30" s="839"/>
      <c r="F30" s="836"/>
      <c r="G30" s="830"/>
      <c r="H30" s="843"/>
      <c r="I30" s="885"/>
      <c r="J30" s="886"/>
      <c r="K30" s="885"/>
      <c r="L30" s="885"/>
      <c r="M30" s="888"/>
      <c r="N30" s="872"/>
      <c r="O30" s="873"/>
    </row>
    <row r="31" spans="1:15" ht="13.5" customHeight="1">
      <c r="A31" s="837">
        <v>21</v>
      </c>
      <c r="B31" s="854"/>
      <c r="C31" s="843"/>
      <c r="D31" s="838"/>
      <c r="E31" s="856"/>
      <c r="F31" s="836"/>
      <c r="G31" s="830"/>
      <c r="H31" s="843"/>
      <c r="I31" s="885"/>
      <c r="J31" s="886"/>
      <c r="K31" s="885"/>
      <c r="L31" s="885"/>
      <c r="M31" s="888"/>
      <c r="N31" s="872"/>
      <c r="O31" s="873"/>
    </row>
    <row r="32" spans="1:15" ht="16.5" customHeight="1">
      <c r="A32" s="837">
        <v>22</v>
      </c>
      <c r="B32" s="854"/>
      <c r="C32" s="843"/>
      <c r="D32" s="838"/>
      <c r="E32" s="856"/>
      <c r="F32" s="836"/>
      <c r="G32" s="830"/>
      <c r="H32" s="843"/>
      <c r="I32" s="885"/>
      <c r="J32" s="886"/>
      <c r="K32" s="885"/>
      <c r="L32" s="885"/>
      <c r="M32" s="888"/>
      <c r="N32" s="872"/>
      <c r="O32" s="873"/>
    </row>
    <row r="33" spans="1:15" ht="28.5" customHeight="1">
      <c r="A33" s="837">
        <v>23</v>
      </c>
      <c r="B33" s="854"/>
      <c r="C33" s="843"/>
      <c r="D33" s="890"/>
      <c r="E33" s="839"/>
      <c r="F33" s="836"/>
      <c r="G33" s="830"/>
      <c r="H33" s="843"/>
      <c r="I33" s="885"/>
      <c r="J33" s="886"/>
      <c r="K33" s="885"/>
      <c r="L33" s="885"/>
      <c r="M33" s="888"/>
      <c r="N33" s="872"/>
      <c r="O33" s="873"/>
    </row>
    <row r="34" spans="1:15" ht="28.5" customHeight="1">
      <c r="A34" s="837">
        <v>24</v>
      </c>
      <c r="B34" s="854"/>
      <c r="C34" s="843"/>
      <c r="D34" s="890"/>
      <c r="E34" s="839"/>
      <c r="F34" s="836"/>
      <c r="G34" s="830"/>
      <c r="H34" s="843"/>
      <c r="I34" s="885"/>
      <c r="J34" s="886"/>
      <c r="K34" s="885"/>
      <c r="L34" s="885"/>
      <c r="M34" s="888"/>
      <c r="N34" s="872"/>
      <c r="O34" s="873"/>
    </row>
    <row r="35" spans="1:15" ht="28.5" customHeight="1">
      <c r="A35" s="837">
        <v>25</v>
      </c>
      <c r="B35" s="854"/>
      <c r="C35" s="843"/>
      <c r="D35" s="890"/>
      <c r="E35" s="839"/>
      <c r="F35" s="836"/>
      <c r="G35" s="830"/>
      <c r="H35" s="843"/>
      <c r="I35" s="885"/>
      <c r="J35" s="886"/>
      <c r="K35" s="885"/>
      <c r="L35" s="885"/>
      <c r="M35" s="888"/>
      <c r="N35" s="872"/>
      <c r="O35" s="873"/>
    </row>
    <row r="36" spans="1:15" ht="28.5" customHeight="1">
      <c r="A36" s="837">
        <v>26</v>
      </c>
      <c r="B36" s="854"/>
      <c r="C36" s="843"/>
      <c r="D36" s="890"/>
      <c r="E36" s="839"/>
      <c r="F36" s="836"/>
      <c r="G36" s="830"/>
      <c r="H36" s="843"/>
      <c r="I36" s="885"/>
      <c r="J36" s="886"/>
      <c r="K36" s="885"/>
      <c r="L36" s="885"/>
      <c r="M36" s="888"/>
      <c r="N36" s="872"/>
      <c r="O36" s="873"/>
    </row>
    <row r="37" spans="1:15" ht="28.5" customHeight="1">
      <c r="A37" s="837">
        <v>27</v>
      </c>
      <c r="B37" s="854"/>
      <c r="C37" s="843"/>
      <c r="D37" s="890"/>
      <c r="E37" s="839"/>
      <c r="F37" s="836"/>
      <c r="G37" s="830"/>
      <c r="H37" s="843"/>
      <c r="I37" s="885"/>
      <c r="J37" s="886"/>
      <c r="K37" s="885"/>
      <c r="L37" s="885"/>
      <c r="M37" s="888"/>
      <c r="N37" s="872"/>
      <c r="O37" s="873"/>
    </row>
    <row r="38" spans="1:15" ht="28.5" customHeight="1">
      <c r="A38" s="837">
        <v>28</v>
      </c>
      <c r="B38" s="854"/>
      <c r="C38" s="843"/>
      <c r="D38" s="890"/>
      <c r="E38" s="839"/>
      <c r="F38" s="836"/>
      <c r="G38" s="830"/>
      <c r="H38" s="843"/>
      <c r="I38" s="885"/>
      <c r="J38" s="886"/>
      <c r="K38" s="885"/>
      <c r="L38" s="885"/>
      <c r="M38" s="888"/>
      <c r="N38" s="872"/>
      <c r="O38" s="873"/>
    </row>
    <row r="39" spans="1:15" ht="28.5" customHeight="1">
      <c r="A39" s="837">
        <v>29</v>
      </c>
      <c r="B39" s="854"/>
      <c r="C39" s="843"/>
      <c r="D39" s="890"/>
      <c r="E39" s="839"/>
      <c r="F39" s="836"/>
      <c r="G39" s="830"/>
      <c r="H39" s="843"/>
      <c r="I39" s="885"/>
      <c r="J39" s="886"/>
      <c r="K39" s="885"/>
      <c r="L39" s="885"/>
      <c r="M39" s="888"/>
      <c r="N39" s="872"/>
      <c r="O39" s="873"/>
    </row>
    <row r="40" spans="1:15" ht="28.5" customHeight="1">
      <c r="A40" s="837">
        <v>30</v>
      </c>
      <c r="B40" s="854"/>
      <c r="C40" s="843"/>
      <c r="D40" s="890"/>
      <c r="E40" s="839"/>
      <c r="F40" s="836"/>
      <c r="G40" s="830"/>
      <c r="H40" s="843"/>
      <c r="I40" s="885"/>
      <c r="J40" s="886"/>
      <c r="K40" s="885"/>
      <c r="L40" s="885"/>
      <c r="M40" s="888"/>
      <c r="N40" s="872"/>
      <c r="O40" s="873"/>
    </row>
    <row r="41" spans="1:15" ht="28.5" customHeight="1">
      <c r="A41" s="837">
        <v>31</v>
      </c>
      <c r="B41" s="854"/>
      <c r="C41" s="843"/>
      <c r="D41" s="890"/>
      <c r="E41" s="839"/>
      <c r="F41" s="836"/>
      <c r="G41" s="830"/>
      <c r="H41" s="843"/>
      <c r="I41" s="885"/>
      <c r="J41" s="886"/>
      <c r="K41" s="885"/>
      <c r="L41" s="885"/>
      <c r="M41" s="888"/>
      <c r="N41" s="872"/>
      <c r="O41" s="873"/>
    </row>
    <row r="42" spans="1:15" ht="28.5" customHeight="1">
      <c r="A42" s="837">
        <v>32</v>
      </c>
      <c r="B42" s="854"/>
      <c r="C42" s="843"/>
      <c r="D42" s="890"/>
      <c r="E42" s="839"/>
      <c r="F42" s="836"/>
      <c r="G42" s="830"/>
      <c r="H42" s="843"/>
      <c r="I42" s="885"/>
      <c r="J42" s="886"/>
      <c r="K42" s="885"/>
      <c r="L42" s="885"/>
      <c r="M42" s="888"/>
      <c r="N42" s="872"/>
      <c r="O42" s="873"/>
    </row>
    <row r="43" spans="1:15" ht="28.5" customHeight="1">
      <c r="A43" s="837">
        <v>33</v>
      </c>
      <c r="B43" s="854"/>
      <c r="C43" s="843"/>
      <c r="D43" s="890"/>
      <c r="E43" s="839"/>
      <c r="F43" s="836"/>
      <c r="G43" s="830"/>
      <c r="H43" s="843"/>
      <c r="I43" s="885"/>
      <c r="J43" s="886"/>
      <c r="K43" s="885"/>
      <c r="L43" s="885"/>
      <c r="M43" s="888"/>
      <c r="N43" s="872"/>
      <c r="O43" s="873"/>
    </row>
    <row r="44" spans="1:15" ht="25.5" customHeight="1">
      <c r="A44" s="837"/>
      <c r="B44" s="854"/>
      <c r="C44" s="843"/>
      <c r="D44" s="858"/>
      <c r="E44" s="839"/>
      <c r="F44" s="836"/>
      <c r="G44" s="830"/>
      <c r="H44" s="843"/>
      <c r="I44" s="885"/>
      <c r="J44" s="886"/>
      <c r="K44" s="885"/>
      <c r="L44" s="885"/>
      <c r="M44" s="888"/>
      <c r="N44" s="872"/>
      <c r="O44" s="873"/>
    </row>
    <row r="47" spans="1:15" ht="15.5">
      <c r="D47" s="851"/>
    </row>
    <row r="48" spans="1:15" ht="15.5">
      <c r="D48" s="851"/>
    </row>
    <row r="49" spans="4:4" ht="13">
      <c r="D49" s="852" t="s">
        <v>577</v>
      </c>
    </row>
    <row r="50" spans="4:4">
      <c r="D50" s="853" t="s">
        <v>556</v>
      </c>
    </row>
  </sheetData>
  <autoFilter ref="B10:M30" xr:uid="{F320C782-5F52-4522-9A7E-76C6850D3D4F}"/>
  <mergeCells count="4">
    <mergeCell ref="D1:K1"/>
    <mergeCell ref="D3:K3"/>
    <mergeCell ref="D4:K4"/>
    <mergeCell ref="I9:M9"/>
  </mergeCells>
  <phoneticPr fontId="33" type="noConversion"/>
  <pageMargins left="0.55118110236220474" right="0.19685039370078741" top="0.39370078740157483" bottom="0.19685039370078741" header="0.51181102362204722" footer="0.51181102362204722"/>
  <pageSetup paperSize="5" scale="78" firstPageNumber="0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7B1E9-E27A-42EF-A76B-C46E85FE824C}">
  <sheetPr>
    <tabColor rgb="FF92D050"/>
  </sheetPr>
  <dimension ref="A3:M45"/>
  <sheetViews>
    <sheetView zoomScaleNormal="100" workbookViewId="0">
      <selection activeCell="E19" sqref="E19"/>
    </sheetView>
  </sheetViews>
  <sheetFormatPr baseColWidth="10" defaultRowHeight="12.5"/>
  <cols>
    <col min="1" max="1" width="3.1796875" customWidth="1"/>
    <col min="2" max="2" width="9.54296875" customWidth="1"/>
    <col min="3" max="3" width="35" customWidth="1"/>
    <col min="4" max="4" width="32" customWidth="1"/>
    <col min="5" max="5" width="16.7265625" customWidth="1"/>
    <col min="6" max="6" width="18.54296875" customWidth="1"/>
  </cols>
  <sheetData>
    <row r="3" spans="1:13" ht="18">
      <c r="D3" s="1116" t="s">
        <v>0</v>
      </c>
      <c r="E3" s="1116"/>
      <c r="F3" s="1116"/>
    </row>
    <row r="5" spans="1:13" ht="18">
      <c r="D5" s="1123" t="s">
        <v>383</v>
      </c>
      <c r="E5" s="1123"/>
      <c r="F5" s="1123"/>
    </row>
    <row r="6" spans="1:13" ht="18">
      <c r="D6" s="1124" t="s">
        <v>384</v>
      </c>
      <c r="E6" s="1124"/>
      <c r="F6" s="1124"/>
    </row>
    <row r="7" spans="1:13" ht="18">
      <c r="D7" s="521"/>
      <c r="E7" s="521"/>
      <c r="F7" s="521"/>
    </row>
    <row r="8" spans="1:13" ht="13">
      <c r="B8" s="23" t="s">
        <v>543</v>
      </c>
      <c r="C8" s="268" t="str">
        <f>+'CDA1'!A8</f>
        <v>INSTITUCIÓN EDUCATIVA  AGROPISCÍCOLA LAS COMPUERTAS</v>
      </c>
      <c r="D8" s="268"/>
      <c r="E8" s="23" t="s">
        <v>570</v>
      </c>
      <c r="F8" s="268"/>
      <c r="G8" s="268"/>
      <c r="H8" s="15" t="s">
        <v>544</v>
      </c>
      <c r="I8" s="268"/>
      <c r="J8" s="16" t="s">
        <v>545</v>
      </c>
      <c r="M8" s="3"/>
    </row>
    <row r="10" spans="1:13">
      <c r="B10" s="309"/>
      <c r="C10" s="309"/>
      <c r="D10" s="309"/>
      <c r="E10" s="605" t="s">
        <v>146</v>
      </c>
      <c r="F10" s="605" t="s">
        <v>146</v>
      </c>
      <c r="G10" s="1125" t="s">
        <v>10</v>
      </c>
      <c r="H10" s="1125"/>
      <c r="I10" s="1125"/>
      <c r="J10" s="1125"/>
    </row>
    <row r="11" spans="1:13">
      <c r="B11" s="164" t="s">
        <v>385</v>
      </c>
      <c r="C11" s="164" t="s">
        <v>386</v>
      </c>
      <c r="D11" s="164" t="s">
        <v>387</v>
      </c>
      <c r="E11" s="607" t="s">
        <v>388</v>
      </c>
      <c r="F11" s="607" t="s">
        <v>389</v>
      </c>
      <c r="G11" s="606" t="s">
        <v>20</v>
      </c>
      <c r="H11" s="606" t="s">
        <v>81</v>
      </c>
      <c r="I11" s="606" t="s">
        <v>21</v>
      </c>
      <c r="J11" s="606" t="s">
        <v>390</v>
      </c>
    </row>
    <row r="12" spans="1:13" ht="25.5">
      <c r="B12" s="35">
        <v>1</v>
      </c>
      <c r="C12" s="975" t="s">
        <v>574</v>
      </c>
      <c r="D12" s="35"/>
      <c r="E12" s="35">
        <v>201</v>
      </c>
      <c r="F12" s="35">
        <v>201</v>
      </c>
      <c r="G12" s="781" t="s">
        <v>546</v>
      </c>
      <c r="H12" s="781"/>
      <c r="I12" s="35"/>
      <c r="J12" s="35"/>
    </row>
    <row r="13" spans="1:13" ht="13">
      <c r="A13" t="s">
        <v>552</v>
      </c>
      <c r="B13" s="35">
        <v>2</v>
      </c>
      <c r="C13" s="35"/>
      <c r="D13" s="35"/>
      <c r="E13" s="35"/>
      <c r="F13" s="35"/>
      <c r="G13" s="781"/>
      <c r="H13" s="781"/>
      <c r="I13" s="35"/>
      <c r="J13" s="35"/>
    </row>
    <row r="14" spans="1:13" ht="13">
      <c r="B14" s="35">
        <v>3</v>
      </c>
      <c r="C14" s="35"/>
      <c r="D14" s="35"/>
      <c r="E14" s="35"/>
      <c r="F14" s="35"/>
      <c r="G14" s="781"/>
      <c r="H14" s="781"/>
      <c r="I14" s="35"/>
      <c r="J14" s="35"/>
    </row>
    <row r="15" spans="1:13" ht="13">
      <c r="B15" s="35">
        <v>4</v>
      </c>
      <c r="C15" s="35"/>
      <c r="D15" s="35"/>
      <c r="E15" s="35"/>
      <c r="F15" s="35"/>
      <c r="G15" s="781"/>
      <c r="H15" s="781"/>
      <c r="I15" s="35"/>
      <c r="J15" s="35"/>
    </row>
    <row r="16" spans="1:13">
      <c r="B16" s="35"/>
      <c r="C16" s="35"/>
      <c r="D16" s="35"/>
      <c r="E16" s="35"/>
      <c r="F16" s="35"/>
      <c r="G16" s="35"/>
      <c r="H16" s="35"/>
      <c r="I16" s="35"/>
      <c r="J16" s="35"/>
    </row>
    <row r="17" spans="2:10">
      <c r="B17" s="35"/>
      <c r="C17" s="35"/>
      <c r="D17" s="35"/>
      <c r="E17" s="35"/>
      <c r="F17" s="35"/>
      <c r="G17" s="35"/>
      <c r="H17" s="35"/>
      <c r="I17" s="35"/>
      <c r="J17" s="35"/>
    </row>
    <row r="18" spans="2:10">
      <c r="B18" s="35"/>
      <c r="C18" s="35"/>
      <c r="D18" s="35"/>
      <c r="E18" s="35"/>
      <c r="F18" s="35"/>
      <c r="G18" s="35"/>
      <c r="H18" s="35"/>
      <c r="I18" s="35"/>
      <c r="J18" s="35"/>
    </row>
    <row r="19" spans="2:10">
      <c r="B19" s="35"/>
      <c r="C19" s="35"/>
      <c r="D19" s="35"/>
      <c r="E19" s="35"/>
      <c r="F19" s="35"/>
      <c r="G19" s="35"/>
      <c r="H19" s="35"/>
      <c r="I19" s="35"/>
      <c r="J19" s="35"/>
    </row>
    <row r="20" spans="2:10">
      <c r="B20" s="35"/>
      <c r="C20" s="35"/>
      <c r="D20" s="35"/>
      <c r="E20" s="35"/>
      <c r="F20" s="35"/>
      <c r="G20" s="35"/>
      <c r="H20" s="35"/>
      <c r="I20" s="35"/>
      <c r="J20" s="35"/>
    </row>
    <row r="21" spans="2:10">
      <c r="B21" s="35"/>
      <c r="C21" s="35"/>
      <c r="D21" s="35"/>
      <c r="E21" s="35"/>
      <c r="F21" s="35"/>
      <c r="G21" s="35"/>
      <c r="H21" s="35"/>
      <c r="I21" s="35"/>
      <c r="J21" s="35"/>
    </row>
    <row r="22" spans="2:10">
      <c r="B22" s="35"/>
      <c r="C22" s="35"/>
      <c r="D22" s="35"/>
      <c r="E22" s="35"/>
      <c r="F22" s="35"/>
      <c r="G22" s="35"/>
      <c r="H22" s="35"/>
      <c r="I22" s="35"/>
      <c r="J22" s="35"/>
    </row>
    <row r="23" spans="2:10">
      <c r="B23" s="35"/>
      <c r="C23" s="35"/>
      <c r="D23" s="35"/>
      <c r="E23" s="35"/>
      <c r="F23" s="35"/>
      <c r="G23" s="35"/>
      <c r="H23" s="35"/>
      <c r="I23" s="35"/>
      <c r="J23" s="35"/>
    </row>
    <row r="24" spans="2:10">
      <c r="B24" s="35"/>
      <c r="C24" s="35"/>
      <c r="D24" s="35"/>
      <c r="E24" s="35"/>
      <c r="F24" s="35"/>
      <c r="G24" s="35"/>
      <c r="H24" s="35"/>
      <c r="I24" s="35"/>
      <c r="J24" s="35"/>
    </row>
    <row r="25" spans="2:10">
      <c r="B25" s="35"/>
      <c r="C25" s="35"/>
      <c r="D25" s="35"/>
      <c r="E25" s="35"/>
      <c r="F25" s="35"/>
      <c r="G25" s="35"/>
      <c r="H25" s="35"/>
      <c r="I25" s="35"/>
      <c r="J25" s="35"/>
    </row>
    <row r="26" spans="2:10">
      <c r="B26" s="35"/>
      <c r="C26" s="35"/>
      <c r="D26" s="35"/>
      <c r="E26" s="35"/>
      <c r="F26" s="35"/>
      <c r="G26" s="35"/>
      <c r="H26" s="35"/>
      <c r="I26" s="35"/>
      <c r="J26" s="35"/>
    </row>
    <row r="27" spans="2:10">
      <c r="B27" s="35"/>
      <c r="C27" s="35"/>
      <c r="D27" s="35"/>
      <c r="E27" s="35"/>
      <c r="F27" s="35"/>
      <c r="G27" s="35"/>
      <c r="H27" s="35"/>
      <c r="I27" s="35"/>
      <c r="J27" s="35"/>
    </row>
    <row r="28" spans="2:10">
      <c r="B28" s="35"/>
      <c r="C28" s="35"/>
      <c r="D28" s="35"/>
      <c r="E28" s="35"/>
      <c r="F28" s="35"/>
      <c r="G28" s="35"/>
      <c r="H28" s="35"/>
      <c r="I28" s="35"/>
      <c r="J28" s="35"/>
    </row>
    <row r="29" spans="2:10">
      <c r="B29" s="35"/>
      <c r="C29" s="35"/>
      <c r="D29" s="35"/>
      <c r="E29" s="35"/>
      <c r="F29" s="35"/>
      <c r="G29" s="35"/>
      <c r="H29" s="35"/>
      <c r="I29" s="35"/>
      <c r="J29" s="35"/>
    </row>
    <row r="30" spans="2:10">
      <c r="B30" s="35"/>
      <c r="C30" s="35"/>
      <c r="D30" s="35"/>
      <c r="E30" s="35"/>
      <c r="F30" s="35"/>
      <c r="G30" s="35"/>
      <c r="H30" s="35"/>
      <c r="I30" s="35"/>
      <c r="J30" s="35"/>
    </row>
    <row r="31" spans="2:10">
      <c r="B31" s="35"/>
      <c r="C31" s="35"/>
      <c r="D31" s="35"/>
      <c r="E31" s="35"/>
      <c r="F31" s="35"/>
      <c r="G31" s="35"/>
      <c r="H31" s="35"/>
      <c r="I31" s="35"/>
      <c r="J31" s="35"/>
    </row>
    <row r="32" spans="2:10">
      <c r="B32" s="35"/>
      <c r="C32" s="35"/>
      <c r="D32" s="35"/>
      <c r="E32" s="35"/>
      <c r="F32" s="35"/>
      <c r="G32" s="35"/>
      <c r="H32" s="35"/>
      <c r="I32" s="35"/>
      <c r="J32" s="35"/>
    </row>
    <row r="33" spans="2:10">
      <c r="B33" s="35"/>
      <c r="C33" s="35"/>
      <c r="D33" s="35"/>
      <c r="E33" s="35"/>
      <c r="F33" s="35"/>
      <c r="G33" s="35"/>
      <c r="H33" s="35"/>
      <c r="I33" s="35"/>
      <c r="J33" s="35"/>
    </row>
    <row r="34" spans="2:10">
      <c r="B34" s="35"/>
      <c r="C34" s="35"/>
      <c r="D34" s="35"/>
      <c r="E34" s="35"/>
      <c r="F34" s="35"/>
      <c r="G34" s="35"/>
      <c r="H34" s="35"/>
      <c r="I34" s="35"/>
      <c r="J34" s="35"/>
    </row>
    <row r="35" spans="2:10">
      <c r="B35" s="35"/>
      <c r="C35" s="35"/>
      <c r="D35" s="35"/>
      <c r="E35" s="35"/>
      <c r="F35" s="35"/>
      <c r="G35" s="35"/>
      <c r="H35" s="35"/>
      <c r="I35" s="35"/>
      <c r="J35" s="35"/>
    </row>
    <row r="36" spans="2:10">
      <c r="B36" s="35"/>
      <c r="C36" s="35"/>
      <c r="D36" s="35"/>
      <c r="E36" s="35"/>
      <c r="F36" s="35"/>
      <c r="G36" s="35"/>
      <c r="H36" s="35"/>
      <c r="I36" s="35"/>
      <c r="J36" s="35"/>
    </row>
    <row r="37" spans="2:10">
      <c r="B37" s="35"/>
      <c r="C37" s="35"/>
      <c r="D37" s="35"/>
      <c r="E37" s="35"/>
      <c r="F37" s="35"/>
      <c r="G37" s="35"/>
      <c r="H37" s="35"/>
      <c r="I37" s="35"/>
      <c r="J37" s="35"/>
    </row>
    <row r="38" spans="2:10">
      <c r="B38" s="35"/>
      <c r="C38" s="35"/>
      <c r="D38" s="35"/>
      <c r="E38" s="35"/>
      <c r="F38" s="35"/>
      <c r="G38" s="35"/>
      <c r="H38" s="35"/>
      <c r="I38" s="35"/>
      <c r="J38" s="35"/>
    </row>
    <row r="39" spans="2:10">
      <c r="B39" s="35"/>
      <c r="C39" s="35"/>
      <c r="D39" s="35"/>
      <c r="E39" s="35"/>
      <c r="F39" s="35"/>
      <c r="G39" s="35"/>
      <c r="H39" s="35"/>
      <c r="I39" s="35"/>
      <c r="J39" s="35"/>
    </row>
    <row r="40" spans="2:10">
      <c r="B40" s="35"/>
      <c r="C40" s="35"/>
      <c r="D40" s="35"/>
      <c r="E40" s="35"/>
      <c r="F40" s="35"/>
      <c r="G40" s="35"/>
      <c r="H40" s="35"/>
      <c r="I40" s="35"/>
      <c r="J40" s="35"/>
    </row>
    <row r="43" spans="2:10">
      <c r="F43" s="352"/>
      <c r="G43" s="352"/>
      <c r="H43" s="352"/>
      <c r="I43" s="352"/>
    </row>
    <row r="44" spans="2:10">
      <c r="G44" t="s">
        <v>391</v>
      </c>
    </row>
    <row r="45" spans="2:10" ht="13">
      <c r="B45" s="59" t="s">
        <v>392</v>
      </c>
    </row>
  </sheetData>
  <mergeCells count="4">
    <mergeCell ref="D3:F3"/>
    <mergeCell ref="D5:F5"/>
    <mergeCell ref="D6:F6"/>
    <mergeCell ref="G10:J10"/>
  </mergeCells>
  <pageMargins left="0.94488188976377963" right="0.15748031496062992" top="0.19685039370078741" bottom="0.19685039370078741" header="0.51181102362204722" footer="0.51181102362204722"/>
  <pageSetup paperSize="5" scale="90" firstPageNumber="0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AE57B-EF65-49C7-8032-40ABC939D5F4}">
  <sheetPr>
    <tabColor rgb="FF92D050"/>
  </sheetPr>
  <dimension ref="A1:BA133"/>
  <sheetViews>
    <sheetView tabSelected="1" topLeftCell="A8" zoomScale="84" zoomScaleNormal="84" zoomScaleSheetLayoutView="50" workbookViewId="0">
      <selection activeCell="AV17" sqref="AV17"/>
    </sheetView>
  </sheetViews>
  <sheetFormatPr baseColWidth="10" defaultRowHeight="12.5"/>
  <cols>
    <col min="2" max="2" width="27.26953125" customWidth="1"/>
    <col min="3" max="3" width="9.453125" customWidth="1"/>
    <col min="4" max="4" width="15.7265625" customWidth="1"/>
    <col min="5" max="5" width="11.81640625" customWidth="1"/>
    <col min="6" max="6" width="9.81640625" customWidth="1"/>
    <col min="7" max="7" width="9.7265625" customWidth="1"/>
    <col min="8" max="8" width="10.26953125" customWidth="1"/>
    <col min="9" max="9" width="12.81640625" customWidth="1"/>
    <col min="10" max="10" width="15.453125" customWidth="1"/>
    <col min="11" max="11" width="13.81640625" customWidth="1"/>
    <col min="12" max="12" width="7.453125" customWidth="1"/>
    <col min="13" max="13" width="6.81640625" customWidth="1"/>
    <col min="14" max="14" width="18.54296875" style="872" customWidth="1"/>
    <col min="15" max="16" width="35.81640625" customWidth="1"/>
    <col min="17" max="17" width="5.453125" customWidth="1"/>
    <col min="18" max="18" width="0" hidden="1" customWidth="1"/>
    <col min="19" max="19" width="12.54296875" customWidth="1"/>
    <col min="20" max="20" width="16.7265625" bestFit="1" customWidth="1"/>
    <col min="21" max="21" width="14.7265625" bestFit="1" customWidth="1"/>
    <col min="22" max="22" width="10.54296875" customWidth="1"/>
    <col min="23" max="23" width="10.453125" customWidth="1"/>
    <col min="24" max="24" width="9.54296875" customWidth="1"/>
    <col min="25" max="25" width="9.1796875" customWidth="1"/>
    <col min="26" max="26" width="12" customWidth="1"/>
    <col min="27" max="27" width="12.7265625" customWidth="1"/>
    <col min="28" max="28" width="13.1796875" customWidth="1"/>
    <col min="29" max="29" width="19.26953125" customWidth="1"/>
    <col min="30" max="30" width="13.453125" customWidth="1"/>
    <col min="31" max="31" width="16.81640625" customWidth="1"/>
    <col min="32" max="32" width="9.26953125" customWidth="1"/>
    <col min="33" max="33" width="8.26953125" style="253" customWidth="1"/>
    <col min="34" max="34" width="14.7265625" bestFit="1" customWidth="1"/>
    <col min="35" max="35" width="14.7265625" customWidth="1"/>
    <col min="36" max="38" width="10" customWidth="1"/>
    <col min="39" max="39" width="12.26953125" customWidth="1"/>
    <col min="40" max="40" width="14.26953125" customWidth="1"/>
    <col min="41" max="41" width="15.7265625" customWidth="1"/>
    <col min="42" max="42" width="16" bestFit="1" customWidth="1"/>
    <col min="43" max="43" width="17.1796875" customWidth="1"/>
    <col min="44" max="44" width="18.26953125" customWidth="1"/>
    <col min="45" max="45" width="21.453125" customWidth="1"/>
    <col min="46" max="46" width="20.1796875" customWidth="1"/>
    <col min="47" max="47" width="22.1796875" customWidth="1"/>
    <col min="48" max="48" width="31" customWidth="1"/>
  </cols>
  <sheetData>
    <row r="1" spans="1:53" ht="18">
      <c r="C1" s="82"/>
      <c r="D1" s="82"/>
      <c r="I1" s="235"/>
      <c r="J1" s="520" t="s">
        <v>196</v>
      </c>
      <c r="K1" s="425"/>
      <c r="L1" s="235"/>
      <c r="M1" s="425"/>
      <c r="N1" s="931"/>
      <c r="V1" s="82"/>
      <c r="W1" s="571"/>
      <c r="X1" s="571"/>
      <c r="Y1" s="572" t="s">
        <v>196</v>
      </c>
      <c r="Z1" s="574"/>
      <c r="AA1" s="571"/>
      <c r="AB1" s="574"/>
      <c r="AC1" s="572" t="s">
        <v>393</v>
      </c>
      <c r="AD1" s="574"/>
      <c r="AE1" s="571"/>
      <c r="AF1" s="574"/>
      <c r="AG1" s="3"/>
      <c r="AH1" s="3"/>
      <c r="AI1" s="3"/>
      <c r="AJ1" s="3"/>
      <c r="AK1" s="3"/>
      <c r="AL1" s="3"/>
      <c r="AP1" s="82"/>
      <c r="AQ1" s="82"/>
      <c r="AR1" s="235"/>
      <c r="AS1" s="520" t="s">
        <v>196</v>
      </c>
      <c r="AT1" s="235"/>
      <c r="AU1" s="235"/>
      <c r="AX1" s="427"/>
    </row>
    <row r="2" spans="1:53" ht="14.5" thickBot="1">
      <c r="A2" s="427"/>
      <c r="B2" s="427"/>
      <c r="C2" s="574"/>
      <c r="D2" s="574"/>
      <c r="E2" s="608"/>
      <c r="F2" s="609"/>
      <c r="G2" s="608"/>
      <c r="H2" s="608"/>
      <c r="I2" s="66"/>
      <c r="J2" s="66"/>
      <c r="K2" s="3"/>
      <c r="L2" s="65"/>
      <c r="M2" s="474"/>
      <c r="N2" s="932"/>
      <c r="O2" s="427"/>
      <c r="P2" s="427"/>
      <c r="Q2" s="427"/>
      <c r="R2" s="427"/>
      <c r="S2" s="427"/>
      <c r="T2" s="427"/>
      <c r="U2" s="427"/>
      <c r="V2" s="574"/>
      <c r="W2" s="574"/>
      <c r="X2" s="608"/>
      <c r="Y2" s="608"/>
      <c r="Z2" s="608"/>
      <c r="AA2" s="66"/>
      <c r="AB2" s="66"/>
      <c r="AC2" s="66"/>
      <c r="AD2" s="3"/>
      <c r="AE2" s="65"/>
      <c r="AF2" s="65"/>
      <c r="AG2" s="65"/>
      <c r="AH2" s="65"/>
      <c r="AI2" s="65"/>
      <c r="AJ2" s="65"/>
      <c r="AK2" s="65"/>
      <c r="AL2" s="65"/>
      <c r="AM2" s="427"/>
      <c r="AN2" s="427"/>
      <c r="AO2" s="427"/>
      <c r="AP2" s="608"/>
      <c r="AQ2" s="574"/>
      <c r="AR2" s="608"/>
      <c r="AS2" s="608"/>
      <c r="AT2" s="608"/>
      <c r="AU2" s="66"/>
      <c r="AV2" s="66"/>
      <c r="AW2" s="65"/>
      <c r="AX2" s="65"/>
      <c r="AY2" s="427"/>
      <c r="AZ2" s="427"/>
      <c r="BA2" s="427"/>
    </row>
    <row r="3" spans="1:53" ht="15.5">
      <c r="A3" s="427"/>
      <c r="B3" s="427"/>
      <c r="C3" s="608"/>
      <c r="D3" s="82"/>
      <c r="E3" s="610"/>
      <c r="F3" s="284"/>
      <c r="G3" s="611"/>
      <c r="H3" s="611"/>
      <c r="I3" s="612"/>
      <c r="J3" s="613" t="s">
        <v>1</v>
      </c>
      <c r="K3" s="614"/>
      <c r="L3" s="612"/>
      <c r="M3" s="466"/>
      <c r="N3" s="932"/>
      <c r="O3" s="427"/>
      <c r="P3" s="427"/>
      <c r="Q3" s="427"/>
      <c r="R3" s="427"/>
      <c r="S3" s="427"/>
      <c r="T3" s="427"/>
      <c r="U3" s="427"/>
      <c r="V3" s="608"/>
      <c r="W3" s="319"/>
      <c r="X3" s="615"/>
      <c r="Y3" s="615"/>
      <c r="Z3" s="613" t="s">
        <v>1</v>
      </c>
      <c r="AA3" s="613"/>
      <c r="AB3" s="616"/>
      <c r="AC3" s="615"/>
      <c r="AD3" s="434"/>
      <c r="AE3" s="282"/>
      <c r="AF3" s="65"/>
      <c r="AG3" s="65"/>
      <c r="AH3" s="65"/>
      <c r="AI3" s="65"/>
      <c r="AJ3" s="65"/>
      <c r="AK3" s="65"/>
      <c r="AL3" s="65"/>
      <c r="AM3" s="427"/>
      <c r="AN3" s="427"/>
      <c r="AO3" s="65"/>
      <c r="AP3" s="329"/>
      <c r="AQ3" s="611"/>
      <c r="AR3" s="612"/>
      <c r="AS3" s="613" t="s">
        <v>1</v>
      </c>
      <c r="AT3" s="614"/>
      <c r="AU3" s="324"/>
      <c r="AV3" s="282"/>
      <c r="AW3" s="3"/>
      <c r="AX3" s="65"/>
      <c r="AY3" s="427"/>
      <c r="AZ3" s="427"/>
      <c r="BA3" s="427"/>
    </row>
    <row r="4" spans="1:53" ht="16.149999999999999" customHeight="1" thickBot="1">
      <c r="A4" s="427"/>
      <c r="B4" s="427"/>
      <c r="C4" s="478"/>
      <c r="D4" s="82"/>
      <c r="E4" s="610"/>
      <c r="F4" s="496"/>
      <c r="G4" s="436"/>
      <c r="H4" s="436"/>
      <c r="I4" s="501"/>
      <c r="J4" s="617" t="s">
        <v>394</v>
      </c>
      <c r="K4" s="618"/>
      <c r="L4" s="501"/>
      <c r="M4" s="464"/>
      <c r="N4" s="932"/>
      <c r="O4" s="427"/>
      <c r="P4" s="427"/>
      <c r="Q4" s="427"/>
      <c r="R4" s="427"/>
      <c r="S4" s="427"/>
      <c r="T4" s="427"/>
      <c r="U4" s="427"/>
      <c r="V4" s="478"/>
      <c r="W4" s="619"/>
      <c r="X4" s="620"/>
      <c r="Y4" s="620"/>
      <c r="Z4" s="617" t="s">
        <v>394</v>
      </c>
      <c r="AA4" s="617"/>
      <c r="AB4" s="621"/>
      <c r="AC4" s="620"/>
      <c r="AD4" s="622"/>
      <c r="AE4" s="282"/>
      <c r="AF4" s="65"/>
      <c r="AG4" s="65"/>
      <c r="AH4" s="427"/>
      <c r="AI4" s="427"/>
      <c r="AJ4" s="427"/>
      <c r="AK4" s="427"/>
      <c r="AL4" s="427"/>
      <c r="AM4" s="427"/>
      <c r="AN4" s="427"/>
      <c r="AO4" s="65"/>
      <c r="AP4" s="329"/>
      <c r="AQ4" s="436"/>
      <c r="AR4" s="501"/>
      <c r="AS4" s="617" t="s">
        <v>394</v>
      </c>
      <c r="AT4" s="618"/>
      <c r="AU4" s="336"/>
      <c r="AV4" s="282"/>
      <c r="AW4" s="3"/>
      <c r="AX4" s="65"/>
      <c r="AY4" s="427"/>
      <c r="AZ4" s="427"/>
      <c r="BA4" s="427"/>
    </row>
    <row r="5" spans="1:53" ht="16.149999999999999" customHeight="1">
      <c r="A5" s="427"/>
      <c r="B5" s="427"/>
      <c r="C5" s="478"/>
      <c r="D5" s="82"/>
      <c r="E5" s="478"/>
      <c r="F5" s="284"/>
      <c r="G5" s="623"/>
      <c r="H5" s="623"/>
      <c r="I5" s="284"/>
      <c r="J5" s="624"/>
      <c r="K5" s="625"/>
      <c r="L5" s="284"/>
      <c r="M5" s="282"/>
      <c r="N5" s="932"/>
      <c r="O5" s="427"/>
      <c r="P5" s="427"/>
      <c r="Q5" s="427"/>
      <c r="R5" s="427"/>
      <c r="S5" s="427"/>
      <c r="T5" s="427"/>
      <c r="U5" s="427"/>
      <c r="V5" s="478"/>
      <c r="W5" s="82"/>
      <c r="X5" s="284"/>
      <c r="Y5" s="623"/>
      <c r="Z5" s="284"/>
      <c r="AA5" s="624"/>
      <c r="AB5" s="624"/>
      <c r="AC5" s="625"/>
      <c r="AD5" s="284"/>
      <c r="AE5" s="282"/>
      <c r="AF5" s="65"/>
      <c r="AG5" s="65"/>
      <c r="AH5" s="427"/>
      <c r="AI5" s="427"/>
      <c r="AJ5" s="427"/>
      <c r="AK5" s="427"/>
      <c r="AL5" s="427"/>
      <c r="AM5" s="427"/>
      <c r="AN5" s="427"/>
      <c r="AO5" s="65"/>
      <c r="AP5" s="284"/>
      <c r="AQ5" s="623"/>
      <c r="AR5" s="284"/>
      <c r="AS5" s="624"/>
      <c r="AT5" s="625"/>
      <c r="AU5" s="284"/>
      <c r="AV5" s="282"/>
      <c r="AW5" s="3"/>
      <c r="AX5" s="65"/>
      <c r="AY5" s="427"/>
      <c r="AZ5" s="427"/>
      <c r="BA5" s="427"/>
    </row>
    <row r="6" spans="1:53" ht="16.149999999999999" customHeight="1">
      <c r="A6" s="427"/>
      <c r="B6" s="427"/>
      <c r="C6" s="478"/>
      <c r="D6" s="82"/>
      <c r="E6" s="478"/>
      <c r="F6" s="284"/>
      <c r="G6" s="623"/>
      <c r="H6" s="623"/>
      <c r="I6" s="284"/>
      <c r="J6" s="624"/>
      <c r="K6" s="625"/>
      <c r="L6" s="284"/>
      <c r="M6" s="282"/>
      <c r="N6" s="932"/>
      <c r="O6" s="427"/>
      <c r="P6" s="427"/>
      <c r="Q6" s="427"/>
      <c r="R6" s="427"/>
      <c r="S6" s="427"/>
      <c r="T6" s="427"/>
      <c r="U6" s="427"/>
      <c r="V6" s="478"/>
      <c r="W6" s="82"/>
      <c r="X6" s="284"/>
      <c r="Y6" s="623"/>
      <c r="Z6" s="284"/>
      <c r="AA6" s="624"/>
      <c r="AB6" s="624"/>
      <c r="AC6" s="625"/>
      <c r="AD6" s="284"/>
      <c r="AE6" s="282"/>
      <c r="AF6" s="65"/>
      <c r="AG6" s="65"/>
      <c r="AH6" s="427"/>
      <c r="AI6" s="427"/>
      <c r="AJ6" s="427"/>
      <c r="AK6" s="427"/>
      <c r="AL6" s="427"/>
      <c r="AM6" s="427"/>
      <c r="AN6" s="427"/>
      <c r="AO6" s="65"/>
      <c r="AP6" s="284"/>
      <c r="AQ6" s="623"/>
      <c r="AR6" s="284"/>
      <c r="AS6" s="624"/>
      <c r="AT6" s="625"/>
      <c r="AU6" s="284"/>
      <c r="AV6" s="282"/>
      <c r="AW6" s="3"/>
      <c r="AX6" s="65"/>
      <c r="AY6" s="427"/>
      <c r="AZ6" s="427"/>
      <c r="BA6" s="427"/>
    </row>
    <row r="7" spans="1:53" ht="16.149999999999999" customHeight="1">
      <c r="A7" s="427"/>
      <c r="B7" s="427"/>
      <c r="C7" s="478"/>
      <c r="D7" s="82"/>
      <c r="E7" s="478"/>
      <c r="F7" s="284"/>
      <c r="G7" s="623"/>
      <c r="H7" s="623"/>
      <c r="I7" s="284"/>
      <c r="J7" s="624"/>
      <c r="K7" s="625"/>
      <c r="L7" s="284"/>
      <c r="M7" s="282"/>
      <c r="N7" s="932"/>
      <c r="O7" s="427"/>
      <c r="P7" s="427"/>
      <c r="Q7" s="427"/>
      <c r="R7" s="427"/>
      <c r="S7" s="427"/>
      <c r="T7" s="427"/>
      <c r="U7" s="427"/>
      <c r="V7" s="478"/>
      <c r="W7" s="82"/>
      <c r="X7" s="284"/>
      <c r="Y7" s="623"/>
      <c r="Z7" s="284"/>
      <c r="AA7" s="624"/>
      <c r="AB7" s="624"/>
      <c r="AC7" s="625"/>
      <c r="AD7" s="284"/>
      <c r="AE7" s="282"/>
      <c r="AF7" s="65"/>
      <c r="AG7" s="65"/>
      <c r="AH7" s="427"/>
      <c r="AI7" s="427"/>
      <c r="AJ7" s="427"/>
      <c r="AK7" s="427"/>
      <c r="AL7" s="427"/>
      <c r="AM7" s="427"/>
      <c r="AN7" s="427"/>
      <c r="AO7" s="65"/>
      <c r="AP7" s="284"/>
      <c r="AQ7" s="623"/>
      <c r="AR7" s="284"/>
      <c r="AS7" s="624"/>
      <c r="AT7" s="625"/>
      <c r="AU7" s="284"/>
      <c r="AV7" s="282"/>
      <c r="AW7" s="3"/>
      <c r="AX7" s="65"/>
      <c r="AY7" s="427"/>
      <c r="AZ7" s="427"/>
      <c r="BA7" s="427"/>
    </row>
    <row r="8" spans="1:53" ht="16.149999999999999" customHeight="1">
      <c r="A8" s="427"/>
      <c r="B8" s="427"/>
      <c r="C8" s="478"/>
      <c r="D8" s="82"/>
      <c r="E8" s="478"/>
      <c r="F8" s="284"/>
      <c r="G8" s="623"/>
      <c r="H8" s="623"/>
      <c r="I8" s="284"/>
      <c r="J8" s="624"/>
      <c r="K8" s="625"/>
      <c r="L8" s="284"/>
      <c r="M8" s="282"/>
      <c r="N8" s="932"/>
      <c r="O8" s="427"/>
      <c r="P8" s="427"/>
      <c r="Q8" s="427"/>
      <c r="R8" s="427"/>
      <c r="S8" s="427"/>
      <c r="T8" s="427"/>
      <c r="U8" s="427"/>
      <c r="V8" s="478"/>
      <c r="W8" s="82"/>
      <c r="X8" s="284"/>
      <c r="Y8" s="623"/>
      <c r="Z8" s="284"/>
      <c r="AA8" s="624"/>
      <c r="AB8" s="624"/>
      <c r="AC8" s="625"/>
      <c r="AD8" s="284"/>
      <c r="AE8" s="282"/>
      <c r="AF8" s="65"/>
      <c r="AG8" s="65"/>
      <c r="AH8" s="427"/>
      <c r="AI8" s="427"/>
      <c r="AJ8" s="427"/>
      <c r="AK8" s="427"/>
      <c r="AL8" s="427"/>
      <c r="AM8" s="427"/>
      <c r="AN8" s="427"/>
      <c r="AO8" s="65"/>
      <c r="AP8" s="284"/>
      <c r="AQ8" s="623"/>
      <c r="AR8" s="284"/>
      <c r="AS8" s="624"/>
      <c r="AT8" s="625"/>
      <c r="AU8" s="284"/>
      <c r="AV8" s="282"/>
      <c r="AW8" s="3"/>
      <c r="AX8" s="65"/>
      <c r="AY8" s="427"/>
      <c r="AZ8" s="427"/>
      <c r="BA8" s="427"/>
    </row>
    <row r="9" spans="1:53" ht="16.149999999999999" customHeight="1">
      <c r="A9" s="427"/>
      <c r="B9" s="427"/>
      <c r="C9" s="478"/>
      <c r="D9" s="82"/>
      <c r="E9" s="478"/>
      <c r="F9" s="284"/>
      <c r="G9" s="623"/>
      <c r="H9" s="623"/>
      <c r="I9" s="284"/>
      <c r="J9" s="624"/>
      <c r="K9" s="625"/>
      <c r="L9" s="284"/>
      <c r="M9" s="282"/>
      <c r="N9" s="932"/>
      <c r="O9" s="427"/>
      <c r="P9" s="427"/>
      <c r="Q9" s="427"/>
      <c r="R9" s="427"/>
      <c r="S9" s="427"/>
      <c r="T9" s="427"/>
      <c r="U9" s="427"/>
      <c r="V9" s="478"/>
      <c r="W9" s="82"/>
      <c r="X9" s="284"/>
      <c r="Y9" s="623"/>
      <c r="Z9" s="284"/>
      <c r="AA9" s="624"/>
      <c r="AB9" s="624"/>
      <c r="AC9" s="625"/>
      <c r="AD9" s="284"/>
      <c r="AE9" s="282"/>
      <c r="AF9" s="65"/>
      <c r="AG9" s="65"/>
      <c r="AH9" s="427"/>
      <c r="AI9" s="427"/>
      <c r="AJ9" s="427"/>
      <c r="AK9" s="427"/>
      <c r="AL9" s="427"/>
      <c r="AM9" s="427"/>
      <c r="AN9" s="427"/>
      <c r="AO9" s="65"/>
      <c r="AP9" s="284"/>
      <c r="AQ9" s="623"/>
      <c r="AR9" s="284"/>
      <c r="AS9" s="624"/>
      <c r="AT9" s="625"/>
      <c r="AU9" s="284"/>
      <c r="AV9" s="282"/>
      <c r="AW9" s="3"/>
      <c r="AX9" s="65"/>
      <c r="AY9" s="427"/>
      <c r="AZ9" s="427"/>
      <c r="BA9" s="427"/>
    </row>
    <row r="10" spans="1:53" ht="16.5" customHeight="1" thickBot="1">
      <c r="A10" s="65"/>
      <c r="B10" s="427"/>
      <c r="C10" s="478"/>
      <c r="D10" s="608"/>
      <c r="E10" s="608"/>
      <c r="F10" s="608"/>
      <c r="G10" s="608"/>
      <c r="H10" s="608"/>
      <c r="I10" s="608"/>
      <c r="J10" s="608"/>
      <c r="K10" s="3"/>
      <c r="L10" s="3"/>
      <c r="M10" s="65"/>
      <c r="N10" s="932"/>
      <c r="O10" s="427"/>
      <c r="P10" s="427"/>
      <c r="Q10" s="427"/>
      <c r="R10" s="427"/>
      <c r="S10" s="427"/>
      <c r="T10" s="427"/>
      <c r="U10" s="427"/>
      <c r="V10" s="478"/>
      <c r="W10" s="608"/>
      <c r="X10" s="608"/>
      <c r="Y10" s="608"/>
      <c r="Z10" s="608"/>
      <c r="AA10" s="608"/>
      <c r="AB10" s="608"/>
      <c r="AC10" s="608"/>
      <c r="AD10" s="3"/>
      <c r="AE10" s="3"/>
      <c r="AF10" s="65"/>
      <c r="AG10" s="65"/>
      <c r="AH10" s="65"/>
      <c r="AI10" s="65"/>
      <c r="AJ10" s="65"/>
      <c r="AK10" s="65"/>
      <c r="AL10" s="65"/>
      <c r="AM10" s="427"/>
      <c r="AN10" s="427"/>
      <c r="AO10" s="427"/>
      <c r="AP10" s="478"/>
      <c r="AQ10" s="608"/>
      <c r="AR10" s="608"/>
      <c r="AS10" s="608"/>
      <c r="AT10" s="608"/>
      <c r="AU10" s="608"/>
      <c r="AV10" s="608"/>
      <c r="AW10" s="3"/>
      <c r="AX10" s="65"/>
      <c r="AY10" s="427"/>
      <c r="AZ10" s="427"/>
      <c r="BA10" s="427"/>
    </row>
    <row r="11" spans="1:53" ht="14.5" customHeight="1" thickBot="1">
      <c r="A11" s="319" t="s">
        <v>36</v>
      </c>
      <c r="B11" s="615"/>
      <c r="C11" s="12"/>
      <c r="D11" s="615"/>
      <c r="E11" s="615"/>
      <c r="F11" s="615"/>
      <c r="G11" s="626" t="s">
        <v>511</v>
      </c>
      <c r="H11" s="12"/>
      <c r="I11" s="12"/>
      <c r="J11" s="13"/>
      <c r="K11" s="9"/>
      <c r="L11" s="12"/>
      <c r="M11" s="276"/>
      <c r="N11" s="933"/>
      <c r="O11" s="11"/>
      <c r="P11" s="10"/>
      <c r="Q11" s="10"/>
      <c r="R11" s="10"/>
      <c r="S11" s="319" t="s">
        <v>36</v>
      </c>
      <c r="T11" s="615"/>
      <c r="U11" s="12"/>
      <c r="V11" s="615"/>
      <c r="W11" s="615"/>
      <c r="X11" s="615"/>
      <c r="Y11" s="12"/>
      <c r="Z11" s="626" t="str">
        <f>+G11</f>
        <v>NIT:  802,020,459-1</v>
      </c>
      <c r="AA11" s="13"/>
      <c r="AB11" s="12"/>
      <c r="AC11" s="626" t="s">
        <v>570</v>
      </c>
      <c r="AD11" s="12"/>
      <c r="AE11" s="276"/>
      <c r="AF11" s="279"/>
      <c r="AG11" s="9"/>
      <c r="AH11" s="628"/>
      <c r="AI11" s="65"/>
      <c r="AJ11" s="65"/>
      <c r="AK11" s="65"/>
      <c r="AL11" s="65"/>
      <c r="AM11" s="626" t="s">
        <v>512</v>
      </c>
      <c r="AN11" s="615"/>
      <c r="AO11" s="12"/>
      <c r="AP11" s="12"/>
      <c r="AQ11" s="615"/>
      <c r="AR11" s="24"/>
      <c r="AS11" s="9" t="s">
        <v>395</v>
      </c>
      <c r="AT11" s="22"/>
      <c r="AU11" s="12" t="str">
        <f>+AF12</f>
        <v>HOJA:  1 DE:  1</v>
      </c>
      <c r="AV11" s="627"/>
      <c r="AZ11" s="65"/>
      <c r="BA11" s="65"/>
    </row>
    <row r="12" spans="1:53" ht="14.5" thickBot="1">
      <c r="A12" s="619" t="str">
        <f>+'CDA1'!A8</f>
        <v>INSTITUCIÓN EDUCATIVA  AGROPISCÍCOLA LAS COMPUERTAS</v>
      </c>
      <c r="B12" s="620"/>
      <c r="C12" s="18"/>
      <c r="D12" s="620"/>
      <c r="E12" s="620"/>
      <c r="F12" s="441"/>
      <c r="G12" s="17"/>
      <c r="H12" s="18"/>
      <c r="I12" s="18"/>
      <c r="J12" s="19"/>
      <c r="K12" s="441" t="s">
        <v>571</v>
      </c>
      <c r="L12" s="18"/>
      <c r="M12" s="18"/>
      <c r="N12" s="934"/>
      <c r="O12" s="630" t="s">
        <v>510</v>
      </c>
      <c r="P12" s="10"/>
      <c r="Q12" s="281"/>
      <c r="R12" s="281"/>
      <c r="S12" s="633" t="str">
        <f>+A12</f>
        <v>INSTITUCIÓN EDUCATIVA  AGROPISCÍCOLA LAS COMPUERTAS</v>
      </c>
      <c r="T12" s="620"/>
      <c r="U12" s="18"/>
      <c r="V12" s="620"/>
      <c r="W12" s="620"/>
      <c r="X12" s="441"/>
      <c r="Y12" s="18"/>
      <c r="Z12" s="17"/>
      <c r="AA12" s="19"/>
      <c r="AB12" s="23"/>
      <c r="AC12" s="21" t="s">
        <v>497</v>
      </c>
      <c r="AD12" s="15"/>
      <c r="AE12" s="15"/>
      <c r="AF12" s="55" t="str">
        <f>+O12</f>
        <v>HOJA:  1 DE:  1</v>
      </c>
      <c r="AG12" s="281"/>
      <c r="AH12" s="631"/>
      <c r="AI12" s="65"/>
      <c r="AJ12" s="65"/>
      <c r="AK12" s="65"/>
      <c r="AL12" s="65"/>
      <c r="AM12" s="632" t="str">
        <f>+A12</f>
        <v>INSTITUCIÓN EDUCATIVA  AGROPISCÍCOLA LAS COMPUERTAS</v>
      </c>
      <c r="AN12" s="20"/>
      <c r="AO12" s="15"/>
      <c r="AP12" s="16"/>
      <c r="AQ12" s="21" t="str">
        <f>+Z11</f>
        <v>NIT:  802,020,459-1</v>
      </c>
      <c r="AR12" s="24"/>
      <c r="AS12" s="8" t="s">
        <v>557</v>
      </c>
      <c r="AT12" s="9"/>
      <c r="AU12" s="12"/>
      <c r="AV12" s="11"/>
      <c r="AZ12" s="65"/>
      <c r="BA12" s="65"/>
    </row>
    <row r="13" spans="1:53" ht="14.5" thickBot="1">
      <c r="A13" s="633" t="str">
        <f>+'CDA1'!A9</f>
        <v>NOMBRE REP. LEGAL EDGARDO ESPITER LOPEZ</v>
      </c>
      <c r="B13" s="441"/>
      <c r="C13" s="18"/>
      <c r="D13" s="620"/>
      <c r="E13" s="620"/>
      <c r="F13" s="620"/>
      <c r="G13" s="18"/>
      <c r="H13" s="18"/>
      <c r="I13" s="18"/>
      <c r="J13" s="18"/>
      <c r="K13" s="14" t="s">
        <v>396</v>
      </c>
      <c r="L13" s="21"/>
      <c r="M13" s="15"/>
      <c r="N13" s="935" t="s">
        <v>549</v>
      </c>
      <c r="O13" s="634"/>
      <c r="P13" s="281"/>
      <c r="Q13" s="281"/>
      <c r="R13" s="281"/>
      <c r="S13" s="633" t="str">
        <f>+'CDA1'!A9</f>
        <v>NOMBRE REP. LEGAL EDGARDO ESPITER LOPEZ</v>
      </c>
      <c r="T13" s="441"/>
      <c r="U13" s="18"/>
      <c r="V13" s="620"/>
      <c r="W13" s="620"/>
      <c r="X13" s="620"/>
      <c r="Y13" s="18"/>
      <c r="Z13" s="18"/>
      <c r="AA13" s="19"/>
      <c r="AB13" s="23"/>
      <c r="AC13" s="21" t="s">
        <v>491</v>
      </c>
      <c r="AD13" s="21"/>
      <c r="AE13" s="15"/>
      <c r="AF13" s="633"/>
      <c r="AG13" s="430"/>
      <c r="AH13" s="635"/>
      <c r="AI13" s="65"/>
      <c r="AJ13" s="65"/>
      <c r="AK13" s="65"/>
      <c r="AL13" s="65"/>
      <c r="AM13" s="632" t="str">
        <f>+S13</f>
        <v>NOMBRE REP. LEGAL EDGARDO ESPITER LOPEZ</v>
      </c>
      <c r="AN13" s="441"/>
      <c r="AO13" s="18"/>
      <c r="AP13" s="18"/>
      <c r="AQ13" s="620"/>
      <c r="AR13" s="24"/>
      <c r="AS13" s="441" t="s">
        <v>497</v>
      </c>
      <c r="AT13" s="441" t="s">
        <v>501</v>
      </c>
      <c r="AU13" s="441"/>
      <c r="AV13" s="19"/>
      <c r="AZ13" s="65"/>
      <c r="BA13" s="65"/>
    </row>
    <row r="14" spans="1:53" ht="11.25" customHeight="1" thickBot="1">
      <c r="A14" s="277"/>
      <c r="B14" s="277"/>
      <c r="C14" s="282"/>
      <c r="D14" s="282"/>
      <c r="E14" s="277"/>
      <c r="F14" s="282"/>
      <c r="G14" s="282"/>
      <c r="H14" s="282"/>
      <c r="I14" s="282"/>
      <c r="J14" s="282"/>
      <c r="K14" s="282"/>
      <c r="L14" s="282"/>
      <c r="M14" s="282"/>
      <c r="N14" s="936"/>
      <c r="O14" s="282"/>
      <c r="P14" s="282"/>
      <c r="Q14" s="282"/>
      <c r="R14" s="282"/>
      <c r="S14" s="427"/>
      <c r="T14" s="427"/>
      <c r="U14" s="427"/>
      <c r="V14" s="574"/>
      <c r="W14" s="574"/>
      <c r="X14" s="574"/>
      <c r="Y14" s="574"/>
      <c r="Z14" s="574"/>
      <c r="AA14" s="574"/>
      <c r="AB14" s="574"/>
      <c r="AC14" s="574"/>
      <c r="AD14" s="574"/>
      <c r="AF14" s="574"/>
      <c r="AG14" s="608"/>
      <c r="AH14" s="609"/>
      <c r="AI14" s="608"/>
      <c r="AJ14" s="608"/>
      <c r="AK14" s="608"/>
      <c r="AL14" s="608"/>
      <c r="AM14" s="608"/>
      <c r="AN14" s="608"/>
      <c r="AO14" s="608"/>
      <c r="AP14" s="608"/>
      <c r="AQ14" s="608"/>
      <c r="AR14" s="608"/>
      <c r="AS14" s="608"/>
      <c r="AT14" s="608"/>
      <c r="AU14" s="3"/>
      <c r="AV14" s="268"/>
    </row>
    <row r="15" spans="1:53" ht="15" customHeight="1" thickBot="1">
      <c r="A15" s="949" t="s">
        <v>225</v>
      </c>
      <c r="B15" s="950" t="s">
        <v>397</v>
      </c>
      <c r="C15" s="712" t="s">
        <v>398</v>
      </c>
      <c r="D15" s="716" t="s">
        <v>399</v>
      </c>
      <c r="E15" s="717" t="s">
        <v>400</v>
      </c>
      <c r="F15" s="951" t="s">
        <v>401</v>
      </c>
      <c r="G15" s="952" t="s">
        <v>402</v>
      </c>
      <c r="H15" s="952" t="s">
        <v>403</v>
      </c>
      <c r="I15" s="953" t="s">
        <v>404</v>
      </c>
      <c r="J15" s="954"/>
      <c r="K15" s="952" t="s">
        <v>405</v>
      </c>
      <c r="L15" s="1126" t="s">
        <v>406</v>
      </c>
      <c r="M15" s="1127"/>
      <c r="N15" s="955" t="s">
        <v>407</v>
      </c>
      <c r="O15" s="956"/>
      <c r="P15" s="636"/>
      <c r="Q15" s="636"/>
      <c r="R15" s="636"/>
      <c r="S15" s="718" t="s">
        <v>408</v>
      </c>
      <c r="T15" s="719"/>
      <c r="U15" s="720"/>
      <c r="V15" s="721" t="s">
        <v>409</v>
      </c>
      <c r="W15" s="722"/>
      <c r="X15" s="723" t="s">
        <v>410</v>
      </c>
      <c r="Y15" s="722"/>
      <c r="Z15" s="724" t="s">
        <v>411</v>
      </c>
      <c r="AA15" s="725"/>
      <c r="AB15" s="725"/>
      <c r="AC15" s="726"/>
      <c r="AD15" s="727"/>
      <c r="AE15" s="728" t="s">
        <v>412</v>
      </c>
      <c r="AF15" s="729"/>
      <c r="AG15" s="729"/>
      <c r="AH15" s="720"/>
      <c r="AI15" s="638"/>
      <c r="AJ15" s="638"/>
      <c r="AK15" s="638"/>
      <c r="AL15" s="638"/>
      <c r="AM15" s="639" t="s">
        <v>413</v>
      </c>
      <c r="AN15" s="531"/>
      <c r="AO15" s="531"/>
      <c r="AP15" s="637"/>
      <c r="AQ15" s="640" t="s">
        <v>414</v>
      </c>
      <c r="AR15" s="641"/>
      <c r="AS15" s="640" t="s">
        <v>415</v>
      </c>
      <c r="AT15" s="641"/>
      <c r="AU15" s="143" t="s">
        <v>416</v>
      </c>
      <c r="AV15" s="642" t="s">
        <v>417</v>
      </c>
    </row>
    <row r="16" spans="1:53" ht="18.75" customHeight="1" thickBot="1">
      <c r="A16" s="957" t="s">
        <v>418</v>
      </c>
      <c r="B16" s="162" t="s">
        <v>419</v>
      </c>
      <c r="C16" s="713"/>
      <c r="D16" s="752" t="s">
        <v>418</v>
      </c>
      <c r="E16" s="753" t="s">
        <v>418</v>
      </c>
      <c r="F16" s="697" t="s">
        <v>420</v>
      </c>
      <c r="G16" s="740" t="s">
        <v>421</v>
      </c>
      <c r="H16" s="740" t="s">
        <v>421</v>
      </c>
      <c r="I16" s="715" t="s">
        <v>422</v>
      </c>
      <c r="J16" s="644" t="s">
        <v>423</v>
      </c>
      <c r="K16" s="643" t="s">
        <v>239</v>
      </c>
      <c r="L16" s="620" t="s">
        <v>276</v>
      </c>
      <c r="M16" s="333" t="s">
        <v>277</v>
      </c>
      <c r="N16" s="937" t="s">
        <v>424</v>
      </c>
      <c r="O16" s="958" t="s">
        <v>425</v>
      </c>
      <c r="P16" s="25"/>
      <c r="Q16" s="25"/>
      <c r="R16" s="25"/>
      <c r="S16" s="731" t="s">
        <v>426</v>
      </c>
      <c r="T16" s="732" t="s">
        <v>243</v>
      </c>
      <c r="U16" s="760" t="s">
        <v>242</v>
      </c>
      <c r="V16" s="733" t="s">
        <v>427</v>
      </c>
      <c r="W16" s="734" t="s">
        <v>428</v>
      </c>
      <c r="X16" s="735" t="s">
        <v>429</v>
      </c>
      <c r="Y16" s="736" t="s">
        <v>242</v>
      </c>
      <c r="Z16" s="733" t="s">
        <v>430</v>
      </c>
      <c r="AA16" s="736" t="s">
        <v>431</v>
      </c>
      <c r="AB16" s="737" t="s">
        <v>432</v>
      </c>
      <c r="AC16" s="757" t="s">
        <v>433</v>
      </c>
      <c r="AD16" s="738"/>
      <c r="AE16" s="736" t="s">
        <v>243</v>
      </c>
      <c r="AF16" s="891" t="s">
        <v>225</v>
      </c>
      <c r="AG16" s="736" t="s">
        <v>434</v>
      </c>
      <c r="AH16" s="739" t="s">
        <v>242</v>
      </c>
      <c r="AI16" s="227"/>
      <c r="AJ16" s="227"/>
      <c r="AK16" s="227"/>
      <c r="AL16" s="227"/>
      <c r="AM16" s="233" t="s">
        <v>243</v>
      </c>
      <c r="AN16" s="527" t="s">
        <v>435</v>
      </c>
      <c r="AO16" s="139" t="s">
        <v>243</v>
      </c>
      <c r="AP16" s="233" t="s">
        <v>436</v>
      </c>
      <c r="AQ16" s="232" t="s">
        <v>437</v>
      </c>
      <c r="AR16" s="232" t="s">
        <v>204</v>
      </c>
      <c r="AS16" s="233" t="s">
        <v>438</v>
      </c>
      <c r="AT16" s="233" t="s">
        <v>4</v>
      </c>
      <c r="AU16" s="233" t="s">
        <v>439</v>
      </c>
      <c r="AV16" s="646" t="s">
        <v>440</v>
      </c>
    </row>
    <row r="17" spans="1:50" s="926" customFormat="1" ht="41.25" customHeight="1">
      <c r="A17" s="959"/>
      <c r="B17" s="833"/>
      <c r="C17" s="751"/>
      <c r="D17" s="810"/>
      <c r="E17" s="754"/>
      <c r="F17" s="750"/>
      <c r="G17" s="750"/>
      <c r="H17" s="750"/>
      <c r="I17" s="750"/>
      <c r="J17" s="908"/>
      <c r="K17" s="909"/>
      <c r="L17" s="910"/>
      <c r="M17" s="910"/>
      <c r="N17" s="927"/>
      <c r="O17" s="960"/>
      <c r="P17" s="968"/>
      <c r="Q17" s="928"/>
      <c r="R17" s="928"/>
      <c r="S17" s="911"/>
      <c r="T17" s="912"/>
      <c r="U17" s="810">
        <f>+D17</f>
        <v>0</v>
      </c>
      <c r="V17" s="913"/>
      <c r="W17" s="914"/>
      <c r="X17" s="915"/>
      <c r="Y17" s="916"/>
      <c r="Z17" s="916"/>
      <c r="AA17" s="917"/>
      <c r="AB17" s="918"/>
      <c r="AC17" s="758"/>
      <c r="AD17" s="914"/>
      <c r="AE17" s="912"/>
      <c r="AF17" s="892"/>
      <c r="AG17" s="906"/>
      <c r="AH17" s="810">
        <f>+U17</f>
        <v>0</v>
      </c>
      <c r="AI17" s="919"/>
      <c r="AJ17" s="920"/>
      <c r="AK17" s="920"/>
      <c r="AL17" s="920"/>
      <c r="AM17" s="921"/>
      <c r="AN17" s="922"/>
      <c r="AO17" s="912"/>
      <c r="AP17" s="810">
        <f>+AH17</f>
        <v>0</v>
      </c>
      <c r="AQ17" s="923"/>
      <c r="AR17" s="923"/>
      <c r="AS17" s="924"/>
      <c r="AT17" s="925"/>
      <c r="AU17" s="828"/>
      <c r="AV17" s="828"/>
    </row>
    <row r="18" spans="1:50" ht="52.5" customHeight="1">
      <c r="A18" s="961"/>
      <c r="B18" s="894"/>
      <c r="C18" s="895"/>
      <c r="D18" s="896"/>
      <c r="E18" s="897"/>
      <c r="F18" s="898"/>
      <c r="G18" s="898"/>
      <c r="H18" s="898"/>
      <c r="I18" s="898"/>
      <c r="J18" s="899"/>
      <c r="K18" s="110"/>
      <c r="L18" s="110"/>
      <c r="M18" s="110"/>
      <c r="N18" s="929"/>
      <c r="O18" s="960"/>
      <c r="P18" s="969"/>
      <c r="Q18" s="930"/>
      <c r="R18" s="930"/>
      <c r="S18" s="900"/>
      <c r="T18" s="901"/>
      <c r="U18" s="896">
        <f>+D18</f>
        <v>0</v>
      </c>
      <c r="V18" s="902"/>
      <c r="W18" s="730"/>
      <c r="X18" s="730"/>
      <c r="Y18" s="730"/>
      <c r="Z18" s="730"/>
      <c r="AA18" s="730"/>
      <c r="AB18" s="903"/>
      <c r="AC18" s="904"/>
      <c r="AD18" s="902"/>
      <c r="AE18" s="912"/>
      <c r="AF18" s="905"/>
      <c r="AG18" s="906"/>
      <c r="AH18" s="810">
        <f t="shared" ref="AH18:AH30" si="0">+U18</f>
        <v>0</v>
      </c>
      <c r="AI18" s="848"/>
      <c r="AJ18" s="65"/>
      <c r="AK18" s="65"/>
      <c r="AL18" s="65"/>
      <c r="AM18" s="907"/>
      <c r="AN18" s="730"/>
      <c r="AO18" s="912"/>
      <c r="AP18" s="810">
        <f t="shared" ref="AP18:AP30" si="1">+AH18</f>
        <v>0</v>
      </c>
      <c r="AQ18" s="730"/>
      <c r="AR18" s="730"/>
      <c r="AS18" s="730"/>
      <c r="AT18" s="903"/>
      <c r="AU18" s="828"/>
      <c r="AV18" s="828"/>
    </row>
    <row r="19" spans="1:50" ht="36.75" customHeight="1">
      <c r="A19" s="962"/>
      <c r="B19" s="833"/>
      <c r="C19" s="751"/>
      <c r="D19" s="810"/>
      <c r="E19" s="754"/>
      <c r="F19" s="749"/>
      <c r="G19" s="749"/>
      <c r="H19" s="749"/>
      <c r="I19" s="749"/>
      <c r="J19" s="714"/>
      <c r="K19" s="116"/>
      <c r="L19" s="116"/>
      <c r="M19" s="116"/>
      <c r="N19" s="927"/>
      <c r="O19" s="960"/>
      <c r="P19" s="969"/>
      <c r="Q19" s="930"/>
      <c r="R19" s="930"/>
      <c r="S19" s="755"/>
      <c r="T19" s="759"/>
      <c r="U19" s="810"/>
      <c r="V19" s="747"/>
      <c r="W19" s="648"/>
      <c r="X19" s="648"/>
      <c r="Y19" s="711"/>
      <c r="Z19" s="648"/>
      <c r="AA19" s="648"/>
      <c r="AB19" s="756"/>
      <c r="AC19" s="758"/>
      <c r="AD19" s="747"/>
      <c r="AE19" s="912"/>
      <c r="AF19" s="893"/>
      <c r="AG19" s="747"/>
      <c r="AH19" s="810">
        <f t="shared" si="0"/>
        <v>0</v>
      </c>
      <c r="AI19" s="848"/>
      <c r="AJ19" s="65"/>
      <c r="AK19" s="65"/>
      <c r="AL19" s="65"/>
      <c r="AM19" s="647"/>
      <c r="AN19" s="648"/>
      <c r="AO19" s="912"/>
      <c r="AP19" s="810">
        <f t="shared" si="1"/>
        <v>0</v>
      </c>
      <c r="AQ19" s="648"/>
      <c r="AR19" s="648"/>
      <c r="AS19" s="648"/>
      <c r="AT19" s="756"/>
      <c r="AU19" s="828"/>
      <c r="AV19" s="828"/>
    </row>
    <row r="20" spans="1:50" ht="36.75" customHeight="1">
      <c r="A20" s="962"/>
      <c r="B20" s="861"/>
      <c r="C20" s="862"/>
      <c r="D20" s="810"/>
      <c r="E20" s="754"/>
      <c r="F20" s="749"/>
      <c r="G20" s="749"/>
      <c r="H20" s="749"/>
      <c r="I20" s="749"/>
      <c r="J20" s="714"/>
      <c r="K20" s="116"/>
      <c r="L20" s="116"/>
      <c r="M20" s="116"/>
      <c r="N20" s="927"/>
      <c r="O20" s="960"/>
      <c r="P20" s="969"/>
      <c r="Q20" s="930"/>
      <c r="R20" s="930"/>
      <c r="S20" s="755"/>
      <c r="T20" s="759"/>
      <c r="U20" s="896">
        <f t="shared" ref="U20:U30" si="2">+D20</f>
        <v>0</v>
      </c>
      <c r="V20" s="747"/>
      <c r="W20" s="648"/>
      <c r="X20" s="648"/>
      <c r="Y20" s="711"/>
      <c r="Z20" s="648"/>
      <c r="AA20" s="648"/>
      <c r="AB20" s="756"/>
      <c r="AC20" s="758"/>
      <c r="AD20" s="747"/>
      <c r="AE20" s="912"/>
      <c r="AF20" s="892"/>
      <c r="AG20" s="747"/>
      <c r="AH20" s="810">
        <f t="shared" si="0"/>
        <v>0</v>
      </c>
      <c r="AI20" s="848"/>
      <c r="AJ20" s="65"/>
      <c r="AK20" s="65"/>
      <c r="AL20" s="65"/>
      <c r="AM20" s="647"/>
      <c r="AN20" s="648"/>
      <c r="AO20" s="912"/>
      <c r="AP20" s="810">
        <f t="shared" si="1"/>
        <v>0</v>
      </c>
      <c r="AQ20" s="648"/>
      <c r="AR20" s="648"/>
      <c r="AS20" s="648"/>
      <c r="AT20" s="756"/>
      <c r="AU20" s="828"/>
      <c r="AV20" s="828"/>
    </row>
    <row r="21" spans="1:50" ht="36.75" customHeight="1">
      <c r="A21" s="962"/>
      <c r="B21" s="861"/>
      <c r="C21" s="862"/>
      <c r="D21" s="810"/>
      <c r="E21" s="754"/>
      <c r="F21" s="749"/>
      <c r="G21" s="749"/>
      <c r="H21" s="749"/>
      <c r="I21" s="749"/>
      <c r="J21" s="714"/>
      <c r="K21" s="116"/>
      <c r="L21" s="116"/>
      <c r="M21" s="116"/>
      <c r="N21" s="927"/>
      <c r="O21" s="960"/>
      <c r="P21" s="969"/>
      <c r="Q21" s="930"/>
      <c r="R21" s="930"/>
      <c r="S21" s="755"/>
      <c r="T21" s="759"/>
      <c r="U21" s="896">
        <f t="shared" si="2"/>
        <v>0</v>
      </c>
      <c r="V21" s="747"/>
      <c r="W21" s="648"/>
      <c r="X21" s="648"/>
      <c r="Y21" s="711"/>
      <c r="Z21" s="648"/>
      <c r="AA21" s="648"/>
      <c r="AB21" s="756"/>
      <c r="AC21" s="758"/>
      <c r="AD21" s="747"/>
      <c r="AE21" s="912"/>
      <c r="AF21" s="893"/>
      <c r="AG21" s="747"/>
      <c r="AH21" s="810">
        <f t="shared" si="0"/>
        <v>0</v>
      </c>
      <c r="AI21" s="848"/>
      <c r="AJ21" s="65"/>
      <c r="AK21" s="65"/>
      <c r="AL21" s="65"/>
      <c r="AM21" s="647"/>
      <c r="AN21" s="648"/>
      <c r="AO21" s="912"/>
      <c r="AP21" s="810">
        <f t="shared" si="1"/>
        <v>0</v>
      </c>
      <c r="AQ21" s="648"/>
      <c r="AR21" s="648"/>
      <c r="AS21" s="648"/>
      <c r="AT21" s="756"/>
      <c r="AU21" s="828"/>
      <c r="AV21" s="828"/>
    </row>
    <row r="22" spans="1:50" ht="36.75" customHeight="1">
      <c r="A22" s="962"/>
      <c r="B22" s="861"/>
      <c r="C22" s="862"/>
      <c r="D22" s="810"/>
      <c r="E22" s="754"/>
      <c r="F22" s="749"/>
      <c r="G22" s="749"/>
      <c r="H22" s="749"/>
      <c r="I22" s="749"/>
      <c r="J22" s="714"/>
      <c r="K22" s="116"/>
      <c r="L22" s="116"/>
      <c r="M22" s="116"/>
      <c r="N22" s="927"/>
      <c r="O22" s="960"/>
      <c r="P22" s="320"/>
      <c r="Q22" s="129"/>
      <c r="R22" s="129"/>
      <c r="S22" s="755"/>
      <c r="T22" s="759"/>
      <c r="U22" s="896">
        <f t="shared" si="2"/>
        <v>0</v>
      </c>
      <c r="V22" s="747"/>
      <c r="W22" s="648"/>
      <c r="X22" s="648"/>
      <c r="Y22" s="711"/>
      <c r="Z22" s="648"/>
      <c r="AA22" s="648"/>
      <c r="AB22" s="756"/>
      <c r="AC22" s="758"/>
      <c r="AD22" s="747"/>
      <c r="AE22" s="912"/>
      <c r="AF22" s="893"/>
      <c r="AG22" s="747"/>
      <c r="AH22" s="810">
        <f t="shared" si="0"/>
        <v>0</v>
      </c>
      <c r="AI22" s="848"/>
      <c r="AJ22" s="65"/>
      <c r="AK22" s="65"/>
      <c r="AL22" s="65"/>
      <c r="AM22" s="647"/>
      <c r="AN22" s="648"/>
      <c r="AO22" s="912"/>
      <c r="AP22" s="810">
        <f t="shared" si="1"/>
        <v>0</v>
      </c>
      <c r="AQ22" s="648"/>
      <c r="AR22" s="648"/>
      <c r="AS22" s="648"/>
      <c r="AT22" s="756"/>
      <c r="AU22" s="828"/>
      <c r="AV22" s="828"/>
    </row>
    <row r="23" spans="1:50" ht="36.75" customHeight="1">
      <c r="A23" s="962"/>
      <c r="B23" s="861"/>
      <c r="C23" s="862"/>
      <c r="D23" s="810"/>
      <c r="E23" s="754"/>
      <c r="F23" s="749"/>
      <c r="G23" s="749"/>
      <c r="H23" s="749"/>
      <c r="I23" s="749"/>
      <c r="J23" s="714"/>
      <c r="K23" s="116"/>
      <c r="L23" s="116"/>
      <c r="M23" s="116"/>
      <c r="N23" s="927"/>
      <c r="O23" s="963"/>
      <c r="P23" s="320"/>
      <c r="Q23" s="129"/>
      <c r="R23" s="129"/>
      <c r="S23" s="755"/>
      <c r="T23" s="759"/>
      <c r="U23" s="896">
        <f t="shared" si="2"/>
        <v>0</v>
      </c>
      <c r="V23" s="747"/>
      <c r="W23" s="648"/>
      <c r="X23" s="648"/>
      <c r="Y23" s="711"/>
      <c r="Z23" s="648"/>
      <c r="AA23" s="648"/>
      <c r="AB23" s="756"/>
      <c r="AC23" s="758"/>
      <c r="AD23" s="747"/>
      <c r="AE23" s="912"/>
      <c r="AF23" s="892"/>
      <c r="AG23" s="747"/>
      <c r="AH23" s="810">
        <f t="shared" si="0"/>
        <v>0</v>
      </c>
      <c r="AI23" s="848"/>
      <c r="AJ23" s="65"/>
      <c r="AK23" s="65"/>
      <c r="AL23" s="65"/>
      <c r="AM23" s="647"/>
      <c r="AN23" s="648"/>
      <c r="AO23" s="912"/>
      <c r="AP23" s="810">
        <f t="shared" si="1"/>
        <v>0</v>
      </c>
      <c r="AQ23" s="648"/>
      <c r="AR23" s="648"/>
      <c r="AS23" s="648"/>
      <c r="AT23" s="756"/>
      <c r="AU23" s="828"/>
      <c r="AV23" s="828"/>
    </row>
    <row r="24" spans="1:50" ht="36.75" customHeight="1">
      <c r="A24" s="962"/>
      <c r="B24" s="861"/>
      <c r="C24" s="862"/>
      <c r="D24" s="810"/>
      <c r="E24" s="754"/>
      <c r="F24" s="749"/>
      <c r="G24" s="749"/>
      <c r="H24" s="749"/>
      <c r="I24" s="749"/>
      <c r="J24" s="714"/>
      <c r="K24" s="116"/>
      <c r="L24" s="116"/>
      <c r="M24" s="116"/>
      <c r="N24" s="927"/>
      <c r="O24" s="963"/>
      <c r="P24" s="320"/>
      <c r="Q24" s="129"/>
      <c r="R24" s="129"/>
      <c r="S24" s="755"/>
      <c r="T24" s="759"/>
      <c r="U24" s="896">
        <f t="shared" si="2"/>
        <v>0</v>
      </c>
      <c r="V24" s="747"/>
      <c r="W24" s="648"/>
      <c r="X24" s="648"/>
      <c r="Y24" s="711"/>
      <c r="Z24" s="648"/>
      <c r="AA24" s="648"/>
      <c r="AB24" s="756"/>
      <c r="AC24" s="758"/>
      <c r="AD24" s="747"/>
      <c r="AE24" s="912"/>
      <c r="AF24" s="893"/>
      <c r="AG24" s="747"/>
      <c r="AH24" s="810">
        <f t="shared" si="0"/>
        <v>0</v>
      </c>
      <c r="AI24" s="848"/>
      <c r="AJ24" s="65"/>
      <c r="AK24" s="65"/>
      <c r="AL24" s="65"/>
      <c r="AM24" s="647"/>
      <c r="AN24" s="648"/>
      <c r="AO24" s="912"/>
      <c r="AP24" s="810">
        <f t="shared" si="1"/>
        <v>0</v>
      </c>
      <c r="AQ24" s="648"/>
      <c r="AR24" s="648"/>
      <c r="AS24" s="648"/>
      <c r="AT24" s="756"/>
      <c r="AU24" s="828"/>
      <c r="AV24" s="828"/>
    </row>
    <row r="25" spans="1:50" ht="36.75" customHeight="1">
      <c r="A25" s="962"/>
      <c r="B25" s="831"/>
      <c r="C25" s="862"/>
      <c r="D25" s="810"/>
      <c r="E25" s="754"/>
      <c r="F25" s="749"/>
      <c r="G25" s="749"/>
      <c r="H25" s="749"/>
      <c r="I25" s="749"/>
      <c r="J25" s="714"/>
      <c r="K25" s="116"/>
      <c r="L25" s="116"/>
      <c r="M25" s="116"/>
      <c r="N25" s="927"/>
      <c r="O25" s="963"/>
      <c r="P25" s="320"/>
      <c r="Q25" s="129"/>
      <c r="R25" s="129"/>
      <c r="S25" s="755"/>
      <c r="T25" s="759"/>
      <c r="U25" s="896">
        <f t="shared" si="2"/>
        <v>0</v>
      </c>
      <c r="V25" s="747"/>
      <c r="W25" s="648"/>
      <c r="X25" s="648"/>
      <c r="Y25" s="711"/>
      <c r="Z25" s="648"/>
      <c r="AA25" s="648"/>
      <c r="AB25" s="756"/>
      <c r="AC25" s="758"/>
      <c r="AD25" s="747"/>
      <c r="AE25" s="912"/>
      <c r="AF25" s="893"/>
      <c r="AG25" s="65"/>
      <c r="AH25" s="810">
        <f t="shared" si="0"/>
        <v>0</v>
      </c>
      <c r="AI25" s="848"/>
      <c r="AJ25" s="65"/>
      <c r="AK25" s="65"/>
      <c r="AL25" s="65"/>
      <c r="AM25" s="647"/>
      <c r="AN25" s="648"/>
      <c r="AO25" s="912"/>
      <c r="AP25" s="810">
        <f t="shared" si="1"/>
        <v>0</v>
      </c>
      <c r="AQ25" s="648"/>
      <c r="AR25" s="648"/>
      <c r="AS25" s="648"/>
      <c r="AT25" s="756"/>
      <c r="AU25" s="828"/>
      <c r="AV25" s="828"/>
    </row>
    <row r="26" spans="1:50" ht="36.75" customHeight="1">
      <c r="A26" s="962"/>
      <c r="B26" s="834"/>
      <c r="C26" s="862"/>
      <c r="D26" s="810"/>
      <c r="E26" s="754"/>
      <c r="F26" s="749"/>
      <c r="G26" s="749"/>
      <c r="H26" s="749"/>
      <c r="I26" s="749"/>
      <c r="J26" s="714"/>
      <c r="K26" s="116"/>
      <c r="L26" s="116"/>
      <c r="M26" s="116"/>
      <c r="N26" s="927"/>
      <c r="O26" s="963"/>
      <c r="P26" s="320"/>
      <c r="Q26" s="129"/>
      <c r="R26" s="129"/>
      <c r="S26" s="755"/>
      <c r="T26" s="759"/>
      <c r="U26" s="896">
        <f t="shared" si="2"/>
        <v>0</v>
      </c>
      <c r="V26" s="747"/>
      <c r="W26" s="648"/>
      <c r="X26" s="648"/>
      <c r="Y26" s="711"/>
      <c r="Z26" s="648"/>
      <c r="AA26" s="648"/>
      <c r="AB26" s="756"/>
      <c r="AC26" s="758"/>
      <c r="AD26" s="747"/>
      <c r="AE26" s="912"/>
      <c r="AF26" s="892"/>
      <c r="AG26" s="747"/>
      <c r="AH26" s="810">
        <f t="shared" si="0"/>
        <v>0</v>
      </c>
      <c r="AI26" s="848"/>
      <c r="AJ26" s="65"/>
      <c r="AK26" s="65"/>
      <c r="AL26" s="65"/>
      <c r="AM26" s="647"/>
      <c r="AN26" s="648"/>
      <c r="AO26" s="912"/>
      <c r="AP26" s="810">
        <f t="shared" si="1"/>
        <v>0</v>
      </c>
      <c r="AQ26" s="648"/>
      <c r="AR26" s="648"/>
      <c r="AS26" s="648"/>
      <c r="AT26" s="756"/>
      <c r="AU26" s="828"/>
      <c r="AV26" s="828"/>
    </row>
    <row r="27" spans="1:50" ht="36.75" customHeight="1">
      <c r="A27" s="962"/>
      <c r="B27" s="834"/>
      <c r="C27" s="862"/>
      <c r="D27" s="810"/>
      <c r="E27" s="754"/>
      <c r="F27" s="749"/>
      <c r="G27" s="749"/>
      <c r="H27" s="749"/>
      <c r="I27" s="749"/>
      <c r="J27" s="714"/>
      <c r="K27" s="116"/>
      <c r="L27" s="116"/>
      <c r="M27" s="116"/>
      <c r="N27" s="927"/>
      <c r="O27" s="960"/>
      <c r="P27" s="320"/>
      <c r="Q27" s="129"/>
      <c r="R27" s="129"/>
      <c r="S27" s="755"/>
      <c r="T27" s="759"/>
      <c r="U27" s="896">
        <f t="shared" si="2"/>
        <v>0</v>
      </c>
      <c r="V27" s="747"/>
      <c r="W27" s="648"/>
      <c r="X27" s="648"/>
      <c r="Y27" s="711"/>
      <c r="Z27" s="648"/>
      <c r="AA27" s="648"/>
      <c r="AB27" s="756"/>
      <c r="AC27" s="758"/>
      <c r="AD27" s="747"/>
      <c r="AE27" s="912"/>
      <c r="AF27" s="893"/>
      <c r="AG27" s="65"/>
      <c r="AH27" s="810">
        <f t="shared" si="0"/>
        <v>0</v>
      </c>
      <c r="AI27" s="848"/>
      <c r="AJ27" s="65"/>
      <c r="AK27" s="65"/>
      <c r="AL27" s="65"/>
      <c r="AM27" s="647"/>
      <c r="AN27" s="648"/>
      <c r="AO27" s="912"/>
      <c r="AP27" s="810">
        <f t="shared" si="1"/>
        <v>0</v>
      </c>
      <c r="AQ27" s="648"/>
      <c r="AR27" s="648"/>
      <c r="AS27" s="648"/>
      <c r="AT27" s="756"/>
      <c r="AU27" s="828"/>
      <c r="AV27" s="828"/>
    </row>
    <row r="28" spans="1:50" ht="24.75" customHeight="1">
      <c r="A28" s="962"/>
      <c r="B28" s="834"/>
      <c r="C28" s="862"/>
      <c r="D28" s="810"/>
      <c r="E28" s="754"/>
      <c r="F28" s="749"/>
      <c r="G28" s="749"/>
      <c r="H28" s="749"/>
      <c r="I28" s="749"/>
      <c r="J28" s="714"/>
      <c r="K28" s="116"/>
      <c r="L28" s="116"/>
      <c r="M28" s="116"/>
      <c r="N28" s="927"/>
      <c r="O28" s="960"/>
      <c r="P28" s="320"/>
      <c r="Q28" s="129"/>
      <c r="R28" s="129"/>
      <c r="S28" s="755"/>
      <c r="T28" s="759"/>
      <c r="U28" s="896">
        <f t="shared" si="2"/>
        <v>0</v>
      </c>
      <c r="V28" s="747"/>
      <c r="W28" s="648"/>
      <c r="X28" s="648"/>
      <c r="Y28" s="711"/>
      <c r="Z28" s="648"/>
      <c r="AA28" s="648"/>
      <c r="AB28" s="756"/>
      <c r="AC28" s="758"/>
      <c r="AD28" s="747"/>
      <c r="AE28" s="912"/>
      <c r="AF28" s="893"/>
      <c r="AG28" s="747"/>
      <c r="AH28" s="810">
        <f t="shared" si="0"/>
        <v>0</v>
      </c>
      <c r="AI28" s="848"/>
      <c r="AJ28" s="65"/>
      <c r="AK28" s="65"/>
      <c r="AL28" s="65"/>
      <c r="AM28" s="647"/>
      <c r="AN28" s="648"/>
      <c r="AO28" s="912"/>
      <c r="AP28" s="810">
        <f t="shared" si="1"/>
        <v>0</v>
      </c>
      <c r="AQ28" s="648"/>
      <c r="AR28" s="648"/>
      <c r="AS28" s="648"/>
      <c r="AT28" s="756"/>
      <c r="AU28" s="828"/>
      <c r="AV28" s="828"/>
    </row>
    <row r="29" spans="1:50" ht="25.5" customHeight="1">
      <c r="A29" s="962"/>
      <c r="B29" s="831"/>
      <c r="C29" s="862"/>
      <c r="D29" s="810"/>
      <c r="E29" s="754"/>
      <c r="F29" s="749"/>
      <c r="G29" s="749"/>
      <c r="H29" s="749"/>
      <c r="I29" s="749"/>
      <c r="J29" s="714"/>
      <c r="K29" s="116"/>
      <c r="L29" s="116"/>
      <c r="M29" s="116"/>
      <c r="N29" s="927"/>
      <c r="O29" s="960"/>
      <c r="P29" s="969"/>
      <c r="Q29" s="129"/>
      <c r="R29" s="129"/>
      <c r="S29" s="755"/>
      <c r="T29" s="759"/>
      <c r="U29" s="896">
        <f t="shared" si="2"/>
        <v>0</v>
      </c>
      <c r="V29" s="747"/>
      <c r="W29" s="648"/>
      <c r="X29" s="648"/>
      <c r="Y29" s="711"/>
      <c r="Z29" s="648"/>
      <c r="AA29" s="648"/>
      <c r="AB29" s="756"/>
      <c r="AC29" s="758"/>
      <c r="AD29" s="747"/>
      <c r="AE29" s="912"/>
      <c r="AF29" s="892"/>
      <c r="AG29" s="65"/>
      <c r="AH29" s="810">
        <f t="shared" si="0"/>
        <v>0</v>
      </c>
      <c r="AI29" s="848"/>
      <c r="AJ29" s="65"/>
      <c r="AK29" s="65"/>
      <c r="AL29" s="65"/>
      <c r="AM29" s="647"/>
      <c r="AN29" s="648"/>
      <c r="AO29" s="912"/>
      <c r="AP29" s="810">
        <f t="shared" si="1"/>
        <v>0</v>
      </c>
      <c r="AQ29" s="648"/>
      <c r="AR29" s="648"/>
      <c r="AS29" s="648"/>
      <c r="AT29" s="756"/>
      <c r="AU29" s="828"/>
      <c r="AV29" s="828"/>
    </row>
    <row r="30" spans="1:50" ht="25.5" customHeight="1" thickBot="1">
      <c r="A30" s="962"/>
      <c r="B30" s="831"/>
      <c r="C30" s="862"/>
      <c r="D30" s="810"/>
      <c r="E30" s="754"/>
      <c r="F30" s="749"/>
      <c r="G30" s="749"/>
      <c r="H30" s="749"/>
      <c r="I30" s="749"/>
      <c r="J30" s="714"/>
      <c r="K30" s="116"/>
      <c r="L30" s="116"/>
      <c r="M30" s="116"/>
      <c r="N30" s="927"/>
      <c r="O30" s="960"/>
      <c r="P30" s="969"/>
      <c r="Q30" s="129"/>
      <c r="R30" s="129"/>
      <c r="S30" s="755"/>
      <c r="T30" s="759"/>
      <c r="U30" s="896">
        <f t="shared" si="2"/>
        <v>0</v>
      </c>
      <c r="V30" s="747"/>
      <c r="W30" s="648"/>
      <c r="X30" s="648"/>
      <c r="Y30" s="711"/>
      <c r="Z30" s="648"/>
      <c r="AA30" s="648"/>
      <c r="AB30" s="756"/>
      <c r="AC30" s="758"/>
      <c r="AD30" s="747"/>
      <c r="AE30" s="912"/>
      <c r="AF30" s="892"/>
      <c r="AG30" s="65"/>
      <c r="AH30" s="810">
        <f t="shared" si="0"/>
        <v>0</v>
      </c>
      <c r="AI30" s="848"/>
      <c r="AJ30" s="65"/>
      <c r="AK30" s="65"/>
      <c r="AL30" s="65"/>
      <c r="AM30" s="647"/>
      <c r="AN30" s="648"/>
      <c r="AO30" s="912"/>
      <c r="AP30" s="810">
        <f t="shared" si="1"/>
        <v>0</v>
      </c>
      <c r="AQ30" s="648"/>
      <c r="AR30" s="648"/>
      <c r="AS30" s="648"/>
      <c r="AT30" s="756"/>
      <c r="AU30" s="828"/>
      <c r="AV30" s="828"/>
    </row>
    <row r="31" spans="1:50" ht="16.5" hidden="1" customHeight="1" thickBot="1">
      <c r="A31" s="946"/>
      <c r="B31" s="748"/>
      <c r="C31" s="748"/>
      <c r="D31" s="748"/>
      <c r="E31" s="748"/>
      <c r="F31" s="748"/>
      <c r="G31" s="748"/>
      <c r="H31" s="748"/>
      <c r="I31" s="748"/>
      <c r="J31" s="748"/>
      <c r="K31" s="748"/>
      <c r="L31" s="748"/>
      <c r="M31" s="748"/>
      <c r="N31" s="947"/>
      <c r="O31" s="948"/>
      <c r="P31" s="284"/>
      <c r="Q31" s="284"/>
      <c r="R31" s="284"/>
      <c r="S31" s="649"/>
      <c r="T31" s="811">
        <v>43440</v>
      </c>
      <c r="U31" s="650"/>
      <c r="V31" s="650"/>
      <c r="W31" s="650"/>
      <c r="X31" s="650"/>
      <c r="Y31" s="650"/>
      <c r="Z31" s="650"/>
      <c r="AA31" s="650"/>
      <c r="AB31" s="650"/>
      <c r="AC31" s="650"/>
      <c r="AD31" s="650"/>
      <c r="AE31" s="40"/>
      <c r="AF31" s="650"/>
      <c r="AG31" s="650"/>
      <c r="AH31" s="651"/>
      <c r="AI31" s="65"/>
      <c r="AJ31" s="65"/>
      <c r="AK31" s="65"/>
      <c r="AL31" s="65"/>
      <c r="AM31" s="649"/>
      <c r="AN31" s="650"/>
      <c r="AO31" s="650"/>
      <c r="AP31" s="650"/>
      <c r="AQ31" s="650"/>
      <c r="AR31" s="40"/>
      <c r="AS31" s="40"/>
      <c r="AT31" s="650"/>
      <c r="AU31" s="40"/>
      <c r="AV31" s="43"/>
    </row>
    <row r="32" spans="1:50" ht="14">
      <c r="A32" s="255"/>
      <c r="B32" s="652"/>
      <c r="C32" s="652"/>
      <c r="D32" s="652"/>
      <c r="E32" s="652"/>
      <c r="F32" s="652"/>
      <c r="G32" s="652"/>
      <c r="H32" s="652"/>
      <c r="I32" s="652"/>
      <c r="J32" s="652"/>
      <c r="K32" s="652"/>
      <c r="L32" s="652"/>
      <c r="M32" s="652"/>
      <c r="N32" s="938"/>
      <c r="O32" s="628"/>
      <c r="P32" s="65"/>
      <c r="Q32" s="65"/>
      <c r="R32" s="65"/>
      <c r="S32" s="653"/>
      <c r="T32" s="812"/>
      <c r="U32" s="65"/>
      <c r="V32" s="65"/>
      <c r="W32" s="65"/>
      <c r="X32" s="65"/>
      <c r="Y32" s="65"/>
      <c r="Z32" s="65"/>
      <c r="AA32" s="65"/>
      <c r="AB32" s="65"/>
      <c r="AC32" s="65"/>
      <c r="AD32" s="71"/>
      <c r="AE32" s="3"/>
      <c r="AF32" s="65"/>
      <c r="AG32" s="65"/>
      <c r="AH32" s="631"/>
      <c r="AI32" s="65"/>
      <c r="AJ32" s="65"/>
      <c r="AK32" s="65"/>
      <c r="AL32" s="65"/>
      <c r="AM32" s="653"/>
      <c r="AN32" s="65"/>
      <c r="AO32" s="65"/>
      <c r="AP32" s="65"/>
      <c r="AQ32" s="65"/>
      <c r="AR32" s="3"/>
      <c r="AS32" s="3"/>
      <c r="AT32" s="3"/>
      <c r="AU32" s="71"/>
      <c r="AV32" s="631"/>
      <c r="AW32" s="65"/>
      <c r="AX32" s="65"/>
    </row>
    <row r="33" spans="1:53" ht="15.5">
      <c r="A33" s="48" t="s">
        <v>441</v>
      </c>
      <c r="B33" s="3"/>
      <c r="C33" s="3"/>
      <c r="D33" s="256" t="s">
        <v>442</v>
      </c>
      <c r="E33" s="3"/>
      <c r="F33" s="3"/>
      <c r="G33" s="3"/>
      <c r="H33" s="3"/>
      <c r="I33" s="3"/>
      <c r="J33" s="3"/>
      <c r="K33" s="3"/>
      <c r="L33" s="3"/>
      <c r="M33" s="3"/>
      <c r="N33" s="939"/>
      <c r="O33" s="50"/>
      <c r="P33" s="3"/>
      <c r="Q33" s="3"/>
      <c r="R33" s="3"/>
      <c r="S33" s="48"/>
      <c r="T33" s="81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50"/>
      <c r="AI33" s="3"/>
      <c r="AJ33" s="3"/>
      <c r="AK33" s="3"/>
      <c r="AL33" s="3"/>
      <c r="AM33" s="80"/>
      <c r="AN33" s="63"/>
      <c r="AO33" s="63"/>
      <c r="AP33" s="63"/>
      <c r="AQ33" s="63"/>
      <c r="AR33" s="63"/>
      <c r="AS33" s="63"/>
      <c r="AT33" s="63"/>
      <c r="AU33" s="63"/>
      <c r="AV33" s="81"/>
      <c r="AW33" s="63"/>
      <c r="AX33" s="63"/>
    </row>
    <row r="34" spans="1:53" ht="28">
      <c r="A34" s="70" t="s">
        <v>233</v>
      </c>
      <c r="B34" s="56"/>
      <c r="C34" s="56"/>
      <c r="D34" s="71"/>
      <c r="E34" s="71"/>
      <c r="F34" s="71"/>
      <c r="G34" s="56" t="s">
        <v>443</v>
      </c>
      <c r="H34" s="56"/>
      <c r="I34" s="56"/>
      <c r="J34" s="71"/>
      <c r="K34" s="71"/>
      <c r="L34" s="71"/>
      <c r="M34" s="71"/>
      <c r="N34" s="940" t="s">
        <v>444</v>
      </c>
      <c r="O34" s="359"/>
      <c r="P34" s="56"/>
      <c r="Q34" s="56"/>
      <c r="R34" s="56"/>
      <c r="S34" s="70" t="s">
        <v>233</v>
      </c>
      <c r="T34" s="814"/>
      <c r="U34" s="71"/>
      <c r="V34" s="71"/>
      <c r="W34" s="71"/>
      <c r="X34" s="71"/>
      <c r="Y34" s="56" t="s">
        <v>443</v>
      </c>
      <c r="Z34" s="56"/>
      <c r="AA34" s="71"/>
      <c r="AB34" s="71"/>
      <c r="AC34" s="71"/>
      <c r="AD34" s="71"/>
      <c r="AE34" s="71" t="s">
        <v>445</v>
      </c>
      <c r="AF34" s="71"/>
      <c r="AG34" s="56"/>
      <c r="AH34" s="359"/>
      <c r="AI34" s="56"/>
      <c r="AJ34" s="56"/>
      <c r="AK34" s="56"/>
      <c r="AL34" s="56"/>
      <c r="AM34" s="70" t="s">
        <v>446</v>
      </c>
      <c r="AN34" s="71"/>
      <c r="AO34" s="71"/>
      <c r="AP34" s="71"/>
      <c r="AQ34" s="56" t="s">
        <v>443</v>
      </c>
      <c r="AR34" s="56"/>
      <c r="AS34" s="56"/>
      <c r="AT34" s="71"/>
      <c r="AU34" s="71" t="s">
        <v>517</v>
      </c>
      <c r="AV34" s="183"/>
      <c r="AW34" s="65"/>
      <c r="AX34" s="65"/>
      <c r="AY34" s="65"/>
      <c r="AZ34" s="3"/>
    </row>
    <row r="35" spans="1:53" ht="26">
      <c r="A35" s="229" t="s">
        <v>32</v>
      </c>
      <c r="B35" s="71"/>
      <c r="C35" s="56"/>
      <c r="D35" s="64"/>
      <c r="E35" s="64"/>
      <c r="F35" s="64"/>
      <c r="G35" s="64" t="s">
        <v>447</v>
      </c>
      <c r="H35" s="64"/>
      <c r="I35" s="64"/>
      <c r="J35" s="64"/>
      <c r="K35" s="64"/>
      <c r="L35" s="64"/>
      <c r="M35" s="64"/>
      <c r="N35" s="941" t="s">
        <v>448</v>
      </c>
      <c r="O35" s="359"/>
      <c r="P35" s="56"/>
      <c r="Q35" s="56"/>
      <c r="R35" s="56"/>
      <c r="S35" s="229" t="s">
        <v>32</v>
      </c>
      <c r="T35" s="815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 t="s">
        <v>449</v>
      </c>
      <c r="AF35" s="64"/>
      <c r="AG35" s="56"/>
      <c r="AH35" s="359"/>
      <c r="AI35" s="56"/>
      <c r="AJ35" s="56"/>
      <c r="AK35" s="56"/>
      <c r="AL35" s="56"/>
      <c r="AM35" s="229" t="s">
        <v>450</v>
      </c>
      <c r="AN35" s="64"/>
      <c r="AO35" s="64"/>
      <c r="AP35" s="64"/>
      <c r="AQ35" s="64" t="s">
        <v>447</v>
      </c>
      <c r="AR35" s="64"/>
      <c r="AS35" s="64"/>
      <c r="AT35" s="64"/>
      <c r="AU35" s="64" t="s">
        <v>516</v>
      </c>
      <c r="AV35" s="133"/>
      <c r="AW35" s="63"/>
      <c r="AX35" s="63"/>
      <c r="AY35" s="63"/>
      <c r="AZ35" s="284"/>
    </row>
    <row r="36" spans="1:53" ht="10.5" customHeight="1" thickBot="1">
      <c r="A36" s="5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942"/>
      <c r="O36" s="54"/>
      <c r="P36" s="3"/>
      <c r="Q36" s="3"/>
      <c r="R36" s="3"/>
      <c r="S36" s="51"/>
      <c r="T36" s="816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4"/>
      <c r="AI36" s="53"/>
      <c r="AJ36" s="53"/>
      <c r="AK36" s="53"/>
      <c r="AL36" s="53"/>
      <c r="AM36" s="51"/>
      <c r="AN36" s="53"/>
      <c r="AO36" s="53"/>
      <c r="AP36" s="53"/>
      <c r="AQ36" s="53"/>
      <c r="AR36" s="53"/>
      <c r="AS36" s="53"/>
      <c r="AT36" s="53"/>
      <c r="AU36" s="53"/>
      <c r="AV36" s="54"/>
    </row>
    <row r="37" spans="1:53">
      <c r="T37" s="761"/>
      <c r="AG37" s="3"/>
      <c r="AH37" s="46"/>
      <c r="AI37" s="3"/>
      <c r="AJ37" s="3"/>
      <c r="AK37" s="3"/>
      <c r="AL37" s="3"/>
    </row>
    <row r="38" spans="1:53" ht="13">
      <c r="A38" s="59"/>
      <c r="T38" s="761"/>
      <c r="AG38" s="3"/>
      <c r="AH38" s="3"/>
      <c r="AI38" s="3"/>
      <c r="AJ38" s="3"/>
      <c r="AK38" s="3"/>
      <c r="AL38" s="3"/>
    </row>
    <row r="39" spans="1:53">
      <c r="T39" s="761"/>
      <c r="AG39" s="3"/>
      <c r="AH39" s="3"/>
      <c r="AI39" s="3"/>
      <c r="AJ39" s="3"/>
      <c r="AK39" s="3"/>
      <c r="AL39" s="3"/>
    </row>
    <row r="40" spans="1:53">
      <c r="T40" s="761"/>
      <c r="AG40" s="3"/>
      <c r="AH40" s="3"/>
      <c r="AI40" s="3"/>
      <c r="AJ40" s="3"/>
      <c r="AK40" s="3"/>
      <c r="AL40" s="3"/>
    </row>
    <row r="41" spans="1:53">
      <c r="T41" s="761"/>
      <c r="AG41" s="3"/>
      <c r="AH41" s="3"/>
      <c r="AI41" s="3"/>
      <c r="AJ41" s="3"/>
      <c r="AK41" s="3"/>
      <c r="AL41" s="3"/>
    </row>
    <row r="42" spans="1:53" ht="18">
      <c r="C42" s="82"/>
      <c r="D42" s="82"/>
      <c r="I42" s="235"/>
      <c r="J42" s="520"/>
      <c r="K42" s="425"/>
      <c r="L42" s="235"/>
      <c r="M42" s="425"/>
      <c r="N42" s="931"/>
      <c r="V42" s="82"/>
      <c r="W42" s="571"/>
      <c r="X42" s="571"/>
      <c r="Y42" s="572"/>
      <c r="Z42" s="574"/>
      <c r="AA42" s="571"/>
      <c r="AB42" s="574"/>
      <c r="AC42" s="572" t="s">
        <v>393</v>
      </c>
      <c r="AD42" s="574"/>
      <c r="AE42" s="571"/>
      <c r="AF42" s="574"/>
      <c r="AG42" s="3"/>
      <c r="AH42" s="3"/>
      <c r="AI42" s="3"/>
      <c r="AJ42" s="3"/>
      <c r="AK42" s="3"/>
      <c r="AL42" s="3"/>
      <c r="AP42" s="82"/>
      <c r="AQ42" s="82"/>
      <c r="AR42" s="235"/>
      <c r="AS42" s="520" t="s">
        <v>196</v>
      </c>
      <c r="AT42" s="235"/>
      <c r="AU42" s="235"/>
      <c r="AX42" s="427"/>
    </row>
    <row r="43" spans="1:53" ht="16.149999999999999" customHeight="1">
      <c r="A43" s="427"/>
      <c r="B43" s="427"/>
      <c r="C43" s="478"/>
      <c r="D43" s="82"/>
      <c r="E43" s="478"/>
      <c r="F43" s="284"/>
      <c r="G43" s="623"/>
      <c r="H43" s="623"/>
      <c r="I43" s="284"/>
      <c r="J43" s="624"/>
      <c r="K43" s="625"/>
      <c r="L43" s="284"/>
      <c r="M43" s="282"/>
      <c r="N43" s="932"/>
      <c r="O43" s="427"/>
      <c r="P43" s="427"/>
      <c r="Q43" s="427"/>
      <c r="R43" s="427"/>
      <c r="S43" s="427"/>
      <c r="T43" s="427"/>
      <c r="U43" s="427"/>
      <c r="V43" s="478"/>
      <c r="W43" s="82"/>
      <c r="X43" s="284"/>
      <c r="Y43" s="623"/>
      <c r="Z43" s="284"/>
      <c r="AA43" s="624"/>
      <c r="AB43" s="624"/>
      <c r="AC43" s="625"/>
      <c r="AD43" s="284"/>
      <c r="AE43" s="282"/>
      <c r="AF43" s="65"/>
      <c r="AG43" s="65"/>
      <c r="AH43" s="427"/>
      <c r="AI43" s="427"/>
      <c r="AJ43" s="427"/>
      <c r="AK43" s="427"/>
      <c r="AL43" s="427"/>
      <c r="AM43" s="427"/>
      <c r="AN43" s="427"/>
      <c r="AO43" s="65"/>
      <c r="AP43" s="284"/>
      <c r="AQ43" s="623"/>
      <c r="AR43" s="284"/>
      <c r="AS43" s="624"/>
      <c r="AT43" s="625"/>
      <c r="AU43" s="284"/>
      <c r="AV43" s="282"/>
      <c r="AW43" s="3"/>
      <c r="AX43" s="65"/>
      <c r="AY43" s="427"/>
      <c r="AZ43" s="427"/>
      <c r="BA43" s="427"/>
    </row>
    <row r="44" spans="1:53" ht="16.149999999999999" customHeight="1">
      <c r="A44" s="427"/>
      <c r="B44" s="427"/>
      <c r="C44" s="478"/>
      <c r="D44" s="82"/>
      <c r="E44" s="478"/>
      <c r="F44" s="284"/>
      <c r="G44" s="623"/>
      <c r="H44" s="623"/>
      <c r="I44" s="284"/>
      <c r="J44" s="624"/>
      <c r="K44" s="625"/>
      <c r="L44" s="284"/>
      <c r="M44" s="282"/>
      <c r="N44" s="932"/>
      <c r="O44" s="427"/>
      <c r="P44" s="427"/>
      <c r="Q44" s="427"/>
      <c r="R44" s="427"/>
      <c r="S44" s="427"/>
      <c r="T44" s="427"/>
      <c r="U44" s="427"/>
      <c r="V44" s="478"/>
      <c r="W44" s="82"/>
      <c r="X44" s="284"/>
      <c r="Y44" s="623"/>
      <c r="Z44" s="284"/>
      <c r="AA44" s="624"/>
      <c r="AB44" s="624"/>
      <c r="AC44" s="625"/>
      <c r="AD44" s="284"/>
      <c r="AE44" s="282"/>
      <c r="AF44" s="65"/>
      <c r="AG44" s="65"/>
      <c r="AH44" s="427"/>
      <c r="AI44" s="427"/>
      <c r="AJ44" s="427"/>
      <c r="AK44" s="427"/>
      <c r="AL44" s="427"/>
      <c r="AM44" s="427"/>
      <c r="AN44" s="427"/>
      <c r="AO44" s="65"/>
      <c r="AP44" s="284"/>
      <c r="AQ44" s="623"/>
      <c r="AR44" s="284"/>
      <c r="AS44" s="624"/>
      <c r="AT44" s="625"/>
      <c r="AU44" s="284"/>
      <c r="AV44" s="282"/>
      <c r="AW44" s="3"/>
      <c r="AX44" s="65"/>
      <c r="AY44" s="427"/>
      <c r="AZ44" s="427"/>
      <c r="BA44" s="427"/>
    </row>
    <row r="45" spans="1:53" ht="16.149999999999999" customHeight="1">
      <c r="A45" s="427"/>
      <c r="B45" s="427"/>
      <c r="C45" s="478"/>
      <c r="D45" s="82"/>
      <c r="E45" s="478"/>
      <c r="F45" s="284"/>
      <c r="G45" s="623"/>
      <c r="H45" s="623"/>
      <c r="I45" s="284"/>
      <c r="J45" s="624"/>
      <c r="K45" s="625"/>
      <c r="L45" s="284"/>
      <c r="M45" s="282"/>
      <c r="N45" s="932"/>
      <c r="O45" s="427"/>
      <c r="P45" s="427"/>
      <c r="Q45" s="427"/>
      <c r="R45" s="427"/>
      <c r="S45" s="427"/>
      <c r="T45" s="427"/>
      <c r="U45" s="427"/>
      <c r="V45" s="478"/>
      <c r="W45" s="82"/>
      <c r="X45" s="284"/>
      <c r="Y45" s="623"/>
      <c r="Z45" s="284"/>
      <c r="AA45" s="624"/>
      <c r="AB45" s="624"/>
      <c r="AC45" s="625"/>
      <c r="AD45" s="284"/>
      <c r="AE45" s="282"/>
      <c r="AF45" s="65"/>
      <c r="AG45" s="65"/>
      <c r="AH45" s="427"/>
      <c r="AI45" s="427"/>
      <c r="AJ45" s="427"/>
      <c r="AK45" s="427"/>
      <c r="AL45" s="427"/>
      <c r="AM45" s="427"/>
      <c r="AN45" s="427"/>
      <c r="AO45" s="65"/>
      <c r="AP45" s="284"/>
      <c r="AQ45" s="623"/>
      <c r="AR45" s="284"/>
      <c r="AS45" s="624"/>
      <c r="AT45" s="625"/>
      <c r="AU45" s="284"/>
      <c r="AV45" s="282"/>
      <c r="AW45" s="3"/>
      <c r="AX45" s="65"/>
      <c r="AY45" s="427"/>
      <c r="AZ45" s="427"/>
      <c r="BA45" s="427"/>
    </row>
    <row r="46" spans="1:53" ht="16.149999999999999" customHeight="1">
      <c r="A46" s="427"/>
      <c r="B46" s="427"/>
      <c r="C46" s="478"/>
      <c r="D46" s="82"/>
      <c r="E46" s="478"/>
      <c r="F46" s="284"/>
      <c r="G46" s="623"/>
      <c r="H46" s="623"/>
      <c r="I46" s="284"/>
      <c r="J46" s="624"/>
      <c r="K46" s="625"/>
      <c r="L46" s="284"/>
      <c r="M46" s="282"/>
      <c r="N46" s="932"/>
      <c r="O46" s="427"/>
      <c r="P46" s="427"/>
      <c r="Q46" s="427"/>
      <c r="R46" s="427"/>
      <c r="S46" s="427"/>
      <c r="T46" s="427"/>
      <c r="U46" s="427"/>
      <c r="V46" s="478"/>
      <c r="W46" s="82"/>
      <c r="X46" s="284"/>
      <c r="Y46" s="623"/>
      <c r="Z46" s="284"/>
      <c r="AA46" s="624"/>
      <c r="AB46" s="624"/>
      <c r="AC46" s="625"/>
      <c r="AD46" s="284"/>
      <c r="AE46" s="282"/>
      <c r="AF46" s="65"/>
      <c r="AG46" s="65"/>
      <c r="AH46" s="427"/>
      <c r="AI46" s="427"/>
      <c r="AJ46" s="427"/>
      <c r="AK46" s="427"/>
      <c r="AL46" s="427"/>
      <c r="AM46" s="427"/>
      <c r="AN46" s="427"/>
      <c r="AO46" s="65"/>
      <c r="AP46" s="284"/>
      <c r="AQ46" s="623"/>
      <c r="AR46" s="284"/>
      <c r="AS46" s="624"/>
      <c r="AT46" s="625"/>
      <c r="AU46" s="284"/>
      <c r="AV46" s="282"/>
      <c r="AW46" s="3"/>
      <c r="AX46" s="65"/>
      <c r="AY46" s="427"/>
      <c r="AZ46" s="427"/>
      <c r="BA46" s="427"/>
    </row>
    <row r="47" spans="1:53">
      <c r="AG47" s="3"/>
      <c r="AH47" s="3"/>
      <c r="AI47" s="3"/>
      <c r="AJ47" s="3"/>
      <c r="AK47" s="3"/>
      <c r="AL47" s="3"/>
    </row>
    <row r="48" spans="1:53">
      <c r="AG48" s="3"/>
      <c r="AH48" s="3"/>
      <c r="AI48" s="3"/>
      <c r="AJ48" s="3"/>
      <c r="AK48" s="3"/>
      <c r="AL48" s="3"/>
    </row>
    <row r="49" spans="33:38">
      <c r="AG49" s="3"/>
      <c r="AH49" s="3"/>
      <c r="AI49" s="3"/>
      <c r="AJ49" s="3"/>
      <c r="AK49" s="3"/>
      <c r="AL49" s="3"/>
    </row>
    <row r="50" spans="33:38">
      <c r="AG50" s="3"/>
      <c r="AH50" s="3"/>
      <c r="AI50" s="3"/>
      <c r="AJ50" s="3"/>
      <c r="AK50" s="3"/>
      <c r="AL50" s="3"/>
    </row>
    <row r="51" spans="33:38">
      <c r="AG51" s="3"/>
      <c r="AH51" s="3"/>
      <c r="AI51" s="3"/>
      <c r="AJ51" s="3"/>
      <c r="AK51" s="3"/>
      <c r="AL51" s="3"/>
    </row>
    <row r="52" spans="33:38">
      <c r="AG52" s="3"/>
      <c r="AH52" s="3"/>
      <c r="AI52" s="3"/>
      <c r="AJ52" s="3"/>
      <c r="AK52" s="3"/>
      <c r="AL52" s="3"/>
    </row>
    <row r="53" spans="33:38">
      <c r="AG53" s="3"/>
      <c r="AH53" s="3"/>
      <c r="AI53" s="3"/>
      <c r="AJ53" s="3"/>
      <c r="AK53" s="3"/>
      <c r="AL53" s="3"/>
    </row>
    <row r="54" spans="33:38">
      <c r="AG54" s="3"/>
      <c r="AH54" s="3"/>
      <c r="AI54" s="3"/>
      <c r="AJ54" s="3"/>
      <c r="AK54" s="3"/>
      <c r="AL54" s="3"/>
    </row>
    <row r="55" spans="33:38">
      <c r="AG55" s="3"/>
      <c r="AH55" s="3"/>
      <c r="AI55" s="3"/>
      <c r="AJ55" s="3"/>
      <c r="AK55" s="3"/>
      <c r="AL55" s="3"/>
    </row>
    <row r="56" spans="33:38">
      <c r="AG56" s="3"/>
      <c r="AH56" s="3"/>
      <c r="AI56" s="3"/>
      <c r="AJ56" s="3"/>
      <c r="AK56" s="3"/>
      <c r="AL56" s="3"/>
    </row>
    <row r="57" spans="33:38">
      <c r="AG57" s="3"/>
      <c r="AH57" s="3"/>
      <c r="AI57" s="3"/>
      <c r="AJ57" s="3"/>
      <c r="AK57" s="3"/>
      <c r="AL57" s="3"/>
    </row>
    <row r="58" spans="33:38">
      <c r="AG58" s="3"/>
      <c r="AH58" s="3"/>
      <c r="AI58" s="3"/>
      <c r="AJ58" s="3"/>
      <c r="AK58" s="3"/>
      <c r="AL58" s="3"/>
    </row>
    <row r="59" spans="33:38">
      <c r="AG59" s="3"/>
      <c r="AH59" s="3"/>
      <c r="AI59" s="3"/>
      <c r="AJ59" s="3"/>
      <c r="AK59" s="3"/>
      <c r="AL59" s="3"/>
    </row>
    <row r="60" spans="33:38">
      <c r="AG60" s="3"/>
      <c r="AH60" s="3"/>
      <c r="AI60" s="3"/>
      <c r="AJ60" s="3"/>
      <c r="AK60" s="3"/>
      <c r="AL60" s="3"/>
    </row>
    <row r="61" spans="33:38">
      <c r="AG61" s="3"/>
      <c r="AH61" s="3"/>
      <c r="AI61" s="3"/>
      <c r="AJ61" s="3"/>
      <c r="AK61" s="3"/>
      <c r="AL61" s="3"/>
    </row>
    <row r="62" spans="33:38">
      <c r="AG62" s="3"/>
      <c r="AH62" s="3"/>
      <c r="AI62" s="3"/>
      <c r="AJ62" s="3"/>
      <c r="AK62" s="3"/>
      <c r="AL62" s="3"/>
    </row>
    <row r="63" spans="33:38">
      <c r="AG63" s="3"/>
      <c r="AH63" s="3"/>
      <c r="AI63" s="3"/>
      <c r="AJ63" s="3"/>
      <c r="AK63" s="3"/>
      <c r="AL63" s="3"/>
    </row>
    <row r="64" spans="33:38">
      <c r="AG64" s="3"/>
      <c r="AH64" s="3"/>
      <c r="AI64" s="3"/>
      <c r="AJ64" s="3"/>
      <c r="AK64" s="3"/>
      <c r="AL64" s="3"/>
    </row>
    <row r="65" spans="33:38">
      <c r="AG65" s="3"/>
      <c r="AH65" s="3"/>
      <c r="AI65" s="3"/>
      <c r="AJ65" s="3"/>
      <c r="AK65" s="3"/>
      <c r="AL65" s="3"/>
    </row>
    <row r="66" spans="33:38">
      <c r="AG66" s="3"/>
      <c r="AH66" s="3"/>
      <c r="AI66" s="3"/>
      <c r="AJ66" s="3"/>
      <c r="AK66" s="3"/>
      <c r="AL66" s="3"/>
    </row>
    <row r="67" spans="33:38">
      <c r="AG67" s="3"/>
      <c r="AH67" s="3"/>
      <c r="AI67" s="3"/>
      <c r="AJ67" s="3"/>
      <c r="AK67" s="3"/>
      <c r="AL67" s="3"/>
    </row>
    <row r="68" spans="33:38">
      <c r="AG68" s="3"/>
      <c r="AH68" s="3"/>
      <c r="AI68" s="3"/>
      <c r="AJ68" s="3"/>
      <c r="AK68" s="3"/>
      <c r="AL68" s="3"/>
    </row>
    <row r="69" spans="33:38">
      <c r="AG69" s="3"/>
      <c r="AH69" s="3"/>
      <c r="AI69" s="3"/>
      <c r="AJ69" s="3"/>
      <c r="AK69" s="3"/>
      <c r="AL69" s="3"/>
    </row>
    <row r="70" spans="33:38">
      <c r="AG70" s="3"/>
      <c r="AH70" s="3"/>
      <c r="AI70" s="3"/>
      <c r="AJ70" s="3"/>
      <c r="AK70" s="3"/>
      <c r="AL70" s="3"/>
    </row>
    <row r="71" spans="33:38">
      <c r="AG71" s="3"/>
      <c r="AH71" s="3"/>
      <c r="AI71" s="3"/>
      <c r="AJ71" s="3"/>
      <c r="AK71" s="3"/>
      <c r="AL71" s="3"/>
    </row>
    <row r="72" spans="33:38">
      <c r="AG72" s="3"/>
      <c r="AH72" s="3"/>
      <c r="AI72" s="3"/>
      <c r="AJ72" s="3"/>
      <c r="AK72" s="3"/>
      <c r="AL72" s="3"/>
    </row>
    <row r="73" spans="33:38">
      <c r="AG73" s="3"/>
      <c r="AH73" s="3"/>
      <c r="AI73" s="3"/>
      <c r="AJ73" s="3"/>
      <c r="AK73" s="3"/>
      <c r="AL73" s="3"/>
    </row>
    <row r="74" spans="33:38">
      <c r="AG74" s="3"/>
      <c r="AH74" s="3"/>
      <c r="AI74" s="3"/>
      <c r="AJ74" s="3"/>
      <c r="AK74" s="3"/>
      <c r="AL74" s="3"/>
    </row>
    <row r="75" spans="33:38">
      <c r="AG75" s="3"/>
      <c r="AH75" s="3"/>
      <c r="AI75" s="3"/>
      <c r="AJ75" s="3"/>
      <c r="AK75" s="3"/>
      <c r="AL75" s="3"/>
    </row>
    <row r="76" spans="33:38">
      <c r="AG76" s="3"/>
      <c r="AH76" s="3"/>
      <c r="AI76" s="3"/>
      <c r="AJ76" s="3"/>
      <c r="AK76" s="3"/>
      <c r="AL76" s="3"/>
    </row>
    <row r="77" spans="33:38">
      <c r="AG77" s="3"/>
      <c r="AH77" s="3"/>
      <c r="AI77" s="3"/>
      <c r="AJ77" s="3"/>
      <c r="AK77" s="3"/>
      <c r="AL77" s="3"/>
    </row>
    <row r="78" spans="33:38">
      <c r="AG78" s="3"/>
      <c r="AH78" s="3"/>
      <c r="AI78" s="3"/>
      <c r="AJ78" s="3"/>
      <c r="AK78" s="3"/>
      <c r="AL78" s="3"/>
    </row>
    <row r="79" spans="33:38">
      <c r="AG79" s="3"/>
      <c r="AH79" s="3"/>
      <c r="AI79" s="3"/>
      <c r="AJ79" s="3"/>
      <c r="AK79" s="3"/>
      <c r="AL79" s="3"/>
    </row>
    <row r="80" spans="33:38">
      <c r="AG80" s="3"/>
      <c r="AH80" s="3"/>
      <c r="AI80" s="3"/>
      <c r="AJ80" s="3"/>
      <c r="AK80" s="3"/>
      <c r="AL80" s="3"/>
    </row>
    <row r="81" spans="33:38">
      <c r="AG81" s="3"/>
      <c r="AH81" s="3"/>
      <c r="AI81" s="3"/>
      <c r="AJ81" s="3"/>
      <c r="AK81" s="3"/>
      <c r="AL81" s="3"/>
    </row>
    <row r="82" spans="33:38">
      <c r="AG82" s="3"/>
      <c r="AH82" s="3"/>
      <c r="AI82" s="3"/>
      <c r="AJ82" s="3"/>
      <c r="AK82" s="3"/>
      <c r="AL82" s="3"/>
    </row>
    <row r="83" spans="33:38">
      <c r="AG83" s="3"/>
      <c r="AH83" s="3"/>
      <c r="AI83" s="3"/>
      <c r="AJ83" s="3"/>
      <c r="AK83" s="3"/>
      <c r="AL83" s="3"/>
    </row>
    <row r="84" spans="33:38">
      <c r="AG84" s="3"/>
      <c r="AH84" s="3"/>
      <c r="AI84" s="3"/>
      <c r="AJ84" s="3"/>
      <c r="AK84" s="3"/>
      <c r="AL84" s="3"/>
    </row>
    <row r="85" spans="33:38">
      <c r="AG85" s="3"/>
      <c r="AH85" s="3"/>
      <c r="AI85" s="3"/>
      <c r="AJ85" s="3"/>
      <c r="AK85" s="3"/>
      <c r="AL85" s="3"/>
    </row>
    <row r="86" spans="33:38">
      <c r="AG86" s="3"/>
      <c r="AH86" s="3"/>
      <c r="AI86" s="3"/>
      <c r="AJ86" s="3"/>
      <c r="AK86" s="3"/>
      <c r="AL86" s="3"/>
    </row>
    <row r="87" spans="33:38">
      <c r="AG87" s="3"/>
      <c r="AH87" s="3"/>
      <c r="AI87" s="3"/>
      <c r="AJ87" s="3"/>
      <c r="AK87" s="3"/>
      <c r="AL87" s="3"/>
    </row>
    <row r="88" spans="33:38">
      <c r="AG88" s="3"/>
      <c r="AH88" s="3"/>
      <c r="AI88" s="3"/>
      <c r="AJ88" s="3"/>
      <c r="AK88" s="3"/>
      <c r="AL88" s="3"/>
    </row>
    <row r="89" spans="33:38">
      <c r="AG89" s="3"/>
      <c r="AH89" s="3"/>
      <c r="AI89" s="3"/>
      <c r="AJ89" s="3"/>
      <c r="AK89" s="3"/>
      <c r="AL89" s="3"/>
    </row>
    <row r="90" spans="33:38">
      <c r="AG90" s="3"/>
      <c r="AH90" s="3"/>
      <c r="AI90" s="3"/>
      <c r="AJ90" s="3"/>
      <c r="AK90" s="3"/>
      <c r="AL90" s="3"/>
    </row>
    <row r="91" spans="33:38">
      <c r="AG91" s="3"/>
      <c r="AH91" s="3"/>
      <c r="AI91" s="3"/>
      <c r="AJ91" s="3"/>
      <c r="AK91" s="3"/>
      <c r="AL91" s="3"/>
    </row>
    <row r="92" spans="33:38">
      <c r="AG92" s="3"/>
      <c r="AH92" s="3"/>
      <c r="AI92" s="3"/>
      <c r="AJ92" s="3"/>
      <c r="AK92" s="3"/>
      <c r="AL92" s="3"/>
    </row>
    <row r="93" spans="33:38">
      <c r="AG93" s="3"/>
      <c r="AH93" s="3"/>
      <c r="AI93" s="3"/>
      <c r="AJ93" s="3"/>
      <c r="AK93" s="3"/>
      <c r="AL93" s="3"/>
    </row>
    <row r="94" spans="33:38">
      <c r="AG94" s="3"/>
      <c r="AH94" s="3"/>
      <c r="AI94" s="3"/>
      <c r="AJ94" s="3"/>
      <c r="AK94" s="3"/>
      <c r="AL94" s="3"/>
    </row>
    <row r="95" spans="33:38">
      <c r="AG95" s="3"/>
      <c r="AH95" s="3"/>
      <c r="AI95" s="3"/>
      <c r="AJ95" s="3"/>
      <c r="AK95" s="3"/>
      <c r="AL95" s="3"/>
    </row>
    <row r="96" spans="33:38">
      <c r="AG96" s="3"/>
      <c r="AH96" s="3"/>
      <c r="AI96" s="3"/>
      <c r="AJ96" s="3"/>
      <c r="AK96" s="3"/>
      <c r="AL96" s="3"/>
    </row>
    <row r="97" spans="33:38">
      <c r="AG97" s="3"/>
      <c r="AH97" s="3"/>
      <c r="AI97" s="3"/>
      <c r="AJ97" s="3"/>
      <c r="AK97" s="3"/>
      <c r="AL97" s="3"/>
    </row>
    <row r="98" spans="33:38">
      <c r="AG98" s="3"/>
      <c r="AH98" s="3"/>
      <c r="AI98" s="3"/>
      <c r="AJ98" s="3"/>
      <c r="AK98" s="3"/>
      <c r="AL98" s="3"/>
    </row>
    <row r="99" spans="33:38">
      <c r="AG99" s="3"/>
      <c r="AH99" s="3"/>
      <c r="AI99" s="3"/>
      <c r="AJ99" s="3"/>
      <c r="AK99" s="3"/>
      <c r="AL99" s="3"/>
    </row>
    <row r="100" spans="33:38">
      <c r="AG100" s="3"/>
      <c r="AH100" s="3"/>
      <c r="AI100" s="3"/>
      <c r="AJ100" s="3"/>
      <c r="AK100" s="3"/>
      <c r="AL100" s="3"/>
    </row>
    <row r="101" spans="33:38">
      <c r="AG101" s="3"/>
      <c r="AH101" s="3"/>
      <c r="AI101" s="3"/>
      <c r="AJ101" s="3"/>
      <c r="AK101" s="3"/>
      <c r="AL101" s="3"/>
    </row>
    <row r="102" spans="33:38">
      <c r="AG102" s="3"/>
      <c r="AH102" s="3"/>
      <c r="AI102" s="3"/>
      <c r="AJ102" s="3"/>
      <c r="AK102" s="3"/>
      <c r="AL102" s="3"/>
    </row>
    <row r="103" spans="33:38">
      <c r="AG103" s="3"/>
      <c r="AH103" s="3"/>
      <c r="AI103" s="3"/>
      <c r="AJ103" s="3"/>
      <c r="AK103" s="3"/>
      <c r="AL103" s="3"/>
    </row>
    <row r="104" spans="33:38">
      <c r="AG104" s="3"/>
      <c r="AH104" s="3"/>
      <c r="AI104" s="3"/>
      <c r="AJ104" s="3"/>
      <c r="AK104" s="3"/>
      <c r="AL104" s="3"/>
    </row>
    <row r="105" spans="33:38">
      <c r="AG105" s="3"/>
      <c r="AH105" s="3"/>
      <c r="AI105" s="3"/>
      <c r="AJ105" s="3"/>
      <c r="AK105" s="3"/>
      <c r="AL105" s="3"/>
    </row>
    <row r="106" spans="33:38">
      <c r="AG106" s="3"/>
      <c r="AH106" s="3"/>
      <c r="AI106" s="3"/>
      <c r="AJ106" s="3"/>
      <c r="AK106" s="3"/>
      <c r="AL106" s="3"/>
    </row>
    <row r="107" spans="33:38">
      <c r="AG107" s="3"/>
      <c r="AH107" s="3"/>
      <c r="AI107" s="3"/>
      <c r="AJ107" s="3"/>
      <c r="AK107" s="3"/>
      <c r="AL107" s="3"/>
    </row>
    <row r="108" spans="33:38">
      <c r="AG108" s="3"/>
      <c r="AH108" s="3"/>
      <c r="AI108" s="3"/>
      <c r="AJ108" s="3"/>
      <c r="AK108" s="3"/>
      <c r="AL108" s="3"/>
    </row>
    <row r="109" spans="33:38">
      <c r="AG109" s="3"/>
      <c r="AH109" s="3"/>
      <c r="AI109" s="3"/>
      <c r="AJ109" s="3"/>
      <c r="AK109" s="3"/>
      <c r="AL109" s="3"/>
    </row>
    <row r="110" spans="33:38">
      <c r="AG110" s="3"/>
      <c r="AH110" s="3"/>
      <c r="AI110" s="3"/>
      <c r="AJ110" s="3"/>
      <c r="AK110" s="3"/>
      <c r="AL110" s="3"/>
    </row>
    <row r="111" spans="33:38">
      <c r="AG111" s="3"/>
      <c r="AH111" s="3"/>
      <c r="AI111" s="3"/>
      <c r="AJ111" s="3"/>
      <c r="AK111" s="3"/>
      <c r="AL111" s="3"/>
    </row>
    <row r="112" spans="33:38">
      <c r="AG112" s="3"/>
      <c r="AH112" s="3"/>
      <c r="AI112" s="3"/>
      <c r="AJ112" s="3"/>
      <c r="AK112" s="3"/>
      <c r="AL112" s="3"/>
    </row>
    <row r="113" spans="33:38">
      <c r="AG113" s="3"/>
      <c r="AH113" s="3"/>
      <c r="AI113" s="3"/>
      <c r="AJ113" s="3"/>
      <c r="AK113" s="3"/>
      <c r="AL113" s="3"/>
    </row>
    <row r="114" spans="33:38">
      <c r="AG114" s="3"/>
      <c r="AH114" s="3"/>
      <c r="AI114" s="3"/>
      <c r="AJ114" s="3"/>
      <c r="AK114" s="3"/>
      <c r="AL114" s="3"/>
    </row>
    <row r="115" spans="33:38">
      <c r="AG115" s="3"/>
      <c r="AH115" s="3"/>
      <c r="AI115" s="3"/>
      <c r="AJ115" s="3"/>
      <c r="AK115" s="3"/>
      <c r="AL115" s="3"/>
    </row>
    <row r="116" spans="33:38">
      <c r="AG116" s="3"/>
      <c r="AH116" s="3"/>
      <c r="AI116" s="3"/>
      <c r="AJ116" s="3"/>
      <c r="AK116" s="3"/>
      <c r="AL116" s="3"/>
    </row>
    <row r="117" spans="33:38">
      <c r="AG117" s="3"/>
      <c r="AH117" s="3"/>
      <c r="AI117" s="3"/>
      <c r="AJ117" s="3"/>
      <c r="AK117" s="3"/>
      <c r="AL117" s="3"/>
    </row>
    <row r="118" spans="33:38">
      <c r="AG118" s="3"/>
      <c r="AH118" s="3"/>
      <c r="AI118" s="3"/>
      <c r="AJ118" s="3"/>
      <c r="AK118" s="3"/>
      <c r="AL118" s="3"/>
    </row>
    <row r="119" spans="33:38">
      <c r="AG119" s="3"/>
      <c r="AH119" s="3"/>
      <c r="AI119" s="3"/>
      <c r="AJ119" s="3"/>
      <c r="AK119" s="3"/>
      <c r="AL119" s="3"/>
    </row>
    <row r="120" spans="33:38">
      <c r="AG120" s="3"/>
      <c r="AH120" s="3"/>
      <c r="AI120" s="3"/>
      <c r="AJ120" s="3"/>
      <c r="AK120" s="3"/>
      <c r="AL120" s="3"/>
    </row>
    <row r="121" spans="33:38">
      <c r="AG121" s="3"/>
      <c r="AH121" s="3"/>
      <c r="AI121" s="3"/>
      <c r="AJ121" s="3"/>
      <c r="AK121" s="3"/>
      <c r="AL121" s="3"/>
    </row>
    <row r="122" spans="33:38">
      <c r="AG122" s="3"/>
      <c r="AH122" s="3"/>
      <c r="AI122" s="3"/>
      <c r="AJ122" s="3"/>
      <c r="AK122" s="3"/>
      <c r="AL122" s="3"/>
    </row>
    <row r="123" spans="33:38">
      <c r="AG123" s="3"/>
      <c r="AH123" s="3"/>
      <c r="AI123" s="3"/>
      <c r="AJ123" s="3"/>
      <c r="AK123" s="3"/>
      <c r="AL123" s="3"/>
    </row>
    <row r="124" spans="33:38">
      <c r="AG124" s="3"/>
      <c r="AH124" s="3"/>
      <c r="AI124" s="3"/>
      <c r="AJ124" s="3"/>
      <c r="AK124" s="3"/>
      <c r="AL124" s="3"/>
    </row>
    <row r="125" spans="33:38">
      <c r="AG125" s="3"/>
      <c r="AH125" s="3"/>
      <c r="AI125" s="3"/>
      <c r="AJ125" s="3"/>
      <c r="AK125" s="3"/>
      <c r="AL125" s="3"/>
    </row>
    <row r="126" spans="33:38">
      <c r="AG126" s="3"/>
      <c r="AH126" s="3"/>
      <c r="AI126" s="3"/>
      <c r="AJ126" s="3"/>
      <c r="AK126" s="3"/>
      <c r="AL126" s="3"/>
    </row>
    <row r="127" spans="33:38">
      <c r="AG127" s="3"/>
      <c r="AH127" s="3"/>
      <c r="AI127" s="3"/>
      <c r="AJ127" s="3"/>
      <c r="AK127" s="3"/>
      <c r="AL127" s="3"/>
    </row>
    <row r="128" spans="33:38">
      <c r="AG128" s="3"/>
      <c r="AH128" s="3"/>
      <c r="AI128" s="3"/>
      <c r="AJ128" s="3"/>
      <c r="AK128" s="3"/>
      <c r="AL128" s="3"/>
    </row>
    <row r="129" spans="33:38">
      <c r="AG129" s="3"/>
      <c r="AH129" s="3"/>
      <c r="AI129" s="3"/>
      <c r="AJ129" s="3"/>
      <c r="AK129" s="3"/>
      <c r="AL129" s="3"/>
    </row>
    <row r="130" spans="33:38">
      <c r="AG130" s="3"/>
      <c r="AH130" s="3"/>
      <c r="AI130" s="3"/>
      <c r="AJ130" s="3"/>
      <c r="AK130" s="3"/>
      <c r="AL130" s="3"/>
    </row>
    <row r="131" spans="33:38">
      <c r="AG131" s="3"/>
      <c r="AH131" s="3"/>
      <c r="AI131" s="3"/>
      <c r="AJ131" s="3"/>
      <c r="AK131" s="3"/>
      <c r="AL131" s="3"/>
    </row>
    <row r="132" spans="33:38">
      <c r="AG132" s="3"/>
      <c r="AH132" s="3"/>
      <c r="AI132" s="3"/>
      <c r="AJ132" s="3"/>
      <c r="AK132" s="3"/>
      <c r="AL132" s="3"/>
    </row>
    <row r="133" spans="33:38">
      <c r="AG133" s="3"/>
      <c r="AH133" s="3"/>
      <c r="AI133" s="3"/>
      <c r="AJ133" s="3"/>
      <c r="AK133" s="3"/>
      <c r="AL133" s="3"/>
    </row>
  </sheetData>
  <mergeCells count="1">
    <mergeCell ref="L15:M15"/>
  </mergeCells>
  <printOptions horizontalCentered="1" verticalCentered="1"/>
  <pageMargins left="0.82677165354330717" right="0.39370078740157483" top="7.874015748031496E-2" bottom="0.19685039370078741" header="0.51181102362204722" footer="0.51181102362204722"/>
  <pageSetup paperSize="5" scale="65" firstPageNumber="0" orientation="landscape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159E1-4921-4BFF-B395-C7040786B159}">
  <sheetPr>
    <tabColor rgb="FF92D050"/>
  </sheetPr>
  <dimension ref="B1:J28"/>
  <sheetViews>
    <sheetView topLeftCell="A9" workbookViewId="0">
      <selection activeCell="F20" sqref="F20"/>
    </sheetView>
  </sheetViews>
  <sheetFormatPr baseColWidth="10" defaultColWidth="11.453125" defaultRowHeight="12.5"/>
  <cols>
    <col min="1" max="1" width="4.453125" style="997" customWidth="1"/>
    <col min="2" max="2" width="13.81640625" style="997" customWidth="1"/>
    <col min="3" max="3" width="26.54296875" style="997" customWidth="1"/>
    <col min="4" max="5" width="14.54296875" style="997" customWidth="1"/>
    <col min="6" max="6" width="13.453125" style="997" customWidth="1"/>
    <col min="7" max="7" width="14.1796875" style="997" customWidth="1"/>
    <col min="8" max="8" width="12.54296875" style="997" customWidth="1"/>
    <col min="9" max="9" width="11.54296875" style="997" customWidth="1"/>
    <col min="10" max="10" width="28.54296875" style="997" customWidth="1"/>
    <col min="11" max="16384" width="11.453125" style="997"/>
  </cols>
  <sheetData>
    <row r="1" spans="2:10" ht="28">
      <c r="B1" s="1128" t="s">
        <v>590</v>
      </c>
      <c r="C1" s="1128"/>
      <c r="D1" s="1128"/>
      <c r="E1" s="1128"/>
      <c r="F1" s="1128"/>
      <c r="G1" s="1128"/>
      <c r="H1" s="1128"/>
      <c r="I1" s="1128"/>
      <c r="J1" s="998"/>
    </row>
    <row r="2" spans="2:10" ht="13" thickBot="1">
      <c r="D2" s="997" t="s">
        <v>591</v>
      </c>
    </row>
    <row r="3" spans="2:10">
      <c r="B3" s="999" t="str">
        <f>+'CDA15'!A12</f>
        <v>INSTITUCIÓN EDUCATIVA  AGROPISCÍCOLA LAS COMPUERTAS</v>
      </c>
      <c r="C3" s="1000"/>
      <c r="D3" s="1000"/>
      <c r="E3" s="1000"/>
      <c r="F3" s="1001"/>
      <c r="G3" s="999" t="s">
        <v>74</v>
      </c>
      <c r="H3" s="1002" t="s">
        <v>592</v>
      </c>
      <c r="I3" s="1003"/>
      <c r="J3" s="1004"/>
    </row>
    <row r="4" spans="2:10" ht="13" thickBot="1">
      <c r="B4" s="1005"/>
      <c r="C4" s="1006"/>
      <c r="D4" s="1006"/>
      <c r="E4" s="1006"/>
      <c r="F4" s="1007"/>
      <c r="G4" s="1005" t="s">
        <v>593</v>
      </c>
      <c r="H4" s="1006"/>
      <c r="I4" s="1007"/>
      <c r="J4" s="1008"/>
    </row>
    <row r="5" spans="2:10">
      <c r="B5" s="999"/>
      <c r="C5" s="1000"/>
      <c r="D5" s="1000"/>
      <c r="E5" s="1000"/>
      <c r="F5" s="1001"/>
      <c r="G5" s="1009" t="s">
        <v>594</v>
      </c>
      <c r="H5" s="1002"/>
      <c r="I5" s="1003"/>
    </row>
    <row r="6" spans="2:10" ht="13" thickBot="1">
      <c r="B6" s="1005" t="str">
        <f>+'CDA15'!A13</f>
        <v>NOMBRE REP. LEGAL EDGARDO ESPITER LOPEZ</v>
      </c>
      <c r="C6" s="1010"/>
      <c r="D6" s="1006"/>
      <c r="E6" s="1006"/>
      <c r="F6" s="1007"/>
      <c r="G6" s="1005" t="s">
        <v>595</v>
      </c>
      <c r="H6" s="1006" t="s">
        <v>596</v>
      </c>
      <c r="I6" s="1011"/>
    </row>
    <row r="7" spans="2:10" ht="13">
      <c r="B7" s="1012"/>
      <c r="C7" s="1012"/>
      <c r="D7" s="1012"/>
      <c r="E7" s="1012"/>
      <c r="F7" s="1012"/>
      <c r="G7" s="1013"/>
      <c r="H7" s="1013"/>
      <c r="I7" s="1013"/>
      <c r="J7" s="1013"/>
    </row>
    <row r="8" spans="2:10" ht="13">
      <c r="B8" s="1014"/>
      <c r="C8" s="1014"/>
      <c r="D8" s="1014"/>
      <c r="E8" s="1012"/>
      <c r="F8" s="1012"/>
      <c r="G8" s="1013"/>
      <c r="H8" s="1013"/>
      <c r="I8" s="1013"/>
      <c r="J8" s="1013"/>
    </row>
    <row r="9" spans="2:10" ht="13.5" thickBot="1">
      <c r="E9" s="1015"/>
      <c r="F9" s="1015"/>
      <c r="I9" s="1016"/>
      <c r="J9" s="1016"/>
    </row>
    <row r="10" spans="2:10" ht="46.5" customHeight="1">
      <c r="B10" s="1039" t="s">
        <v>597</v>
      </c>
      <c r="C10" s="1040" t="s">
        <v>598</v>
      </c>
      <c r="D10" s="1041" t="s">
        <v>599</v>
      </c>
      <c r="E10" s="1041" t="s">
        <v>600</v>
      </c>
      <c r="F10" s="1041" t="s">
        <v>601</v>
      </c>
      <c r="G10" s="1040" t="s">
        <v>602</v>
      </c>
      <c r="H10" s="1041" t="s">
        <v>603</v>
      </c>
      <c r="I10" s="1042" t="s">
        <v>604</v>
      </c>
    </row>
    <row r="11" spans="2:10">
      <c r="B11" s="1043">
        <v>1655</v>
      </c>
      <c r="C11" s="1017" t="s">
        <v>605</v>
      </c>
      <c r="D11" s="1018">
        <v>2025</v>
      </c>
      <c r="E11" s="1024">
        <v>27294162</v>
      </c>
      <c r="F11" s="1021">
        <v>25117800</v>
      </c>
      <c r="G11" s="1019">
        <f>E11+F11</f>
        <v>52411962</v>
      </c>
      <c r="H11" s="1024">
        <v>-5562872</v>
      </c>
      <c r="I11" s="1044" t="s">
        <v>23</v>
      </c>
    </row>
    <row r="12" spans="2:10" hidden="1">
      <c r="B12" s="1045">
        <v>1660</v>
      </c>
      <c r="C12" s="1021" t="s">
        <v>606</v>
      </c>
      <c r="D12" s="1018">
        <v>2025</v>
      </c>
      <c r="E12" s="1022"/>
      <c r="F12" s="1023"/>
      <c r="G12" s="1019"/>
      <c r="H12" s="1024"/>
      <c r="I12" s="1046" t="s">
        <v>22</v>
      </c>
    </row>
    <row r="13" spans="2:10">
      <c r="B13" s="1045">
        <v>1665</v>
      </c>
      <c r="C13" s="1026" t="s">
        <v>607</v>
      </c>
      <c r="D13" s="1018">
        <v>2025</v>
      </c>
      <c r="E13" s="1022">
        <f>106036762+3221148</f>
        <v>109257910</v>
      </c>
      <c r="F13" s="1023">
        <v>28341197</v>
      </c>
      <c r="G13" s="1019">
        <f>E13+F13</f>
        <v>137599107</v>
      </c>
      <c r="H13" s="1024">
        <v>-32080073</v>
      </c>
      <c r="I13" s="1046" t="s">
        <v>22</v>
      </c>
    </row>
    <row r="14" spans="2:10">
      <c r="B14" s="1034">
        <v>1670</v>
      </c>
      <c r="C14" s="1023" t="s">
        <v>608</v>
      </c>
      <c r="D14" s="1018">
        <v>2025</v>
      </c>
      <c r="E14" s="1024">
        <v>1867000</v>
      </c>
      <c r="F14" s="1021">
        <v>0</v>
      </c>
      <c r="G14" s="1019">
        <f>E14+F14</f>
        <v>1867000</v>
      </c>
      <c r="H14" s="1024">
        <v>-886964</v>
      </c>
      <c r="I14" s="1046" t="s">
        <v>22</v>
      </c>
    </row>
    <row r="15" spans="2:10">
      <c r="B15" s="1047"/>
      <c r="C15" s="1020"/>
      <c r="D15" s="1020"/>
      <c r="E15" s="1021"/>
      <c r="F15" s="1021"/>
      <c r="G15" s="1024"/>
      <c r="H15" s="1024"/>
      <c r="I15" s="1046"/>
    </row>
    <row r="16" spans="2:10" ht="13">
      <c r="B16" s="1047"/>
      <c r="C16" s="1027"/>
      <c r="D16" s="1020"/>
      <c r="E16" s="1021"/>
      <c r="F16" s="1021"/>
      <c r="G16" s="1024"/>
      <c r="H16" s="1024"/>
      <c r="I16" s="1046"/>
    </row>
    <row r="17" spans="2:10">
      <c r="B17" s="1047"/>
      <c r="C17" s="1020"/>
      <c r="D17" s="1020"/>
      <c r="E17" s="1021"/>
      <c r="F17" s="1021"/>
      <c r="G17" s="1025"/>
      <c r="H17" s="1025"/>
      <c r="I17" s="1046"/>
    </row>
    <row r="18" spans="2:10">
      <c r="B18" s="1048"/>
      <c r="C18" s="1020"/>
      <c r="D18" s="1020"/>
      <c r="E18" s="1021"/>
      <c r="F18" s="1021"/>
      <c r="G18" s="1025"/>
      <c r="H18" s="1025"/>
      <c r="I18" s="1046"/>
    </row>
    <row r="19" spans="2:10">
      <c r="B19" s="1049"/>
      <c r="C19" s="1023"/>
      <c r="D19" s="1023"/>
      <c r="E19" s="1021"/>
      <c r="F19" s="1021"/>
      <c r="G19" s="1025"/>
      <c r="H19" s="1025"/>
      <c r="I19" s="1046"/>
    </row>
    <row r="20" spans="2:10">
      <c r="B20" s="1048"/>
      <c r="C20" s="1020"/>
      <c r="D20" s="1020"/>
      <c r="E20" s="1021"/>
      <c r="F20" s="1021"/>
      <c r="G20" s="1025"/>
      <c r="H20" s="1025"/>
      <c r="I20" s="1046"/>
    </row>
    <row r="21" spans="2:10">
      <c r="B21" s="1050"/>
      <c r="C21" s="1020"/>
      <c r="D21" s="1020"/>
      <c r="E21" s="1021"/>
      <c r="F21" s="1021"/>
      <c r="G21" s="1025"/>
      <c r="H21" s="1025"/>
      <c r="I21" s="1046"/>
    </row>
    <row r="22" spans="2:10">
      <c r="B22" s="1051"/>
      <c r="C22" s="1023"/>
      <c r="D22" s="1023"/>
      <c r="E22" s="1021"/>
      <c r="F22" s="1021"/>
      <c r="G22" s="1025"/>
      <c r="H22" s="1025"/>
      <c r="I22" s="1046"/>
    </row>
    <row r="23" spans="2:10">
      <c r="B23" s="1045"/>
      <c r="C23" s="1021"/>
      <c r="D23" s="1021"/>
      <c r="E23" s="1028"/>
      <c r="F23" s="1028"/>
      <c r="G23" s="1025"/>
      <c r="H23" s="1025"/>
      <c r="I23" s="1046"/>
    </row>
    <row r="24" spans="2:10" ht="13" thickBot="1">
      <c r="B24" s="1052" t="s">
        <v>487</v>
      </c>
      <c r="C24" s="1029"/>
      <c r="D24" s="1029"/>
      <c r="E24" s="1030"/>
      <c r="F24" s="1030"/>
      <c r="G24" s="1057"/>
      <c r="H24" s="1057"/>
      <c r="I24" s="1058"/>
    </row>
    <row r="25" spans="2:10">
      <c r="B25" s="1009" t="s">
        <v>609</v>
      </c>
      <c r="C25" s="1002"/>
      <c r="D25" s="1002"/>
      <c r="E25" s="1031"/>
      <c r="F25" s="1031"/>
      <c r="G25" s="1059"/>
      <c r="H25" s="1060"/>
      <c r="I25" s="1003"/>
    </row>
    <row r="26" spans="2:10" ht="13">
      <c r="B26" s="1032" t="s">
        <v>610</v>
      </c>
      <c r="C26" s="1053" t="s">
        <v>611</v>
      </c>
      <c r="D26" s="1053" t="s">
        <v>612</v>
      </c>
      <c r="E26" s="1054"/>
      <c r="F26" s="1054"/>
      <c r="G26" s="1048"/>
      <c r="H26" s="1054"/>
      <c r="I26" s="1033"/>
    </row>
    <row r="27" spans="2:10">
      <c r="B27" s="1034" t="s">
        <v>210</v>
      </c>
      <c r="C27" s="1055"/>
      <c r="D27" s="1055"/>
      <c r="E27" s="1056"/>
      <c r="F27" s="1056"/>
      <c r="G27" s="1129" t="s">
        <v>365</v>
      </c>
      <c r="H27" s="1130"/>
      <c r="I27" s="1131"/>
      <c r="J27" s="1035"/>
    </row>
    <row r="28" spans="2:10" ht="13.4" customHeight="1" thickBot="1">
      <c r="B28" s="1036"/>
      <c r="C28" s="1037"/>
      <c r="D28" s="1037"/>
      <c r="E28" s="1037"/>
      <c r="F28" s="1037"/>
      <c r="G28" s="1132" t="s">
        <v>32</v>
      </c>
      <c r="H28" s="1133"/>
      <c r="I28" s="1134"/>
      <c r="J28" s="1038"/>
    </row>
  </sheetData>
  <mergeCells count="3">
    <mergeCell ref="B1:I1"/>
    <mergeCell ref="G27:I27"/>
    <mergeCell ref="G28:I28"/>
  </mergeCells>
  <pageMargins left="0.7" right="0.7" top="0.75" bottom="0.75" header="0.3" footer="0.3"/>
  <pageSetup paperSize="5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EBD22-AAAA-46B2-AEBD-5F7E7B5D8C93}">
  <sheetPr>
    <tabColor rgb="FF92D050"/>
  </sheetPr>
  <dimension ref="A1:Q39"/>
  <sheetViews>
    <sheetView topLeftCell="G4" zoomScaleNormal="100" workbookViewId="0">
      <selection activeCell="O21" sqref="O21"/>
    </sheetView>
  </sheetViews>
  <sheetFormatPr baseColWidth="10" defaultRowHeight="15" customHeight="1"/>
  <cols>
    <col min="1" max="1" width="11.453125" customWidth="1"/>
    <col min="2" max="2" width="0.453125" hidden="1" customWidth="1"/>
    <col min="3" max="3" width="0" hidden="1" customWidth="1"/>
    <col min="4" max="4" width="0.1796875" hidden="1" customWidth="1"/>
    <col min="5" max="5" width="16.26953125" customWidth="1"/>
    <col min="6" max="6" width="12.54296875" customWidth="1"/>
    <col min="7" max="8" width="11.81640625" customWidth="1"/>
    <col min="9" max="9" width="9.81640625" customWidth="1"/>
    <col min="10" max="10" width="11.26953125" customWidth="1"/>
    <col min="11" max="11" width="9.54296875" customWidth="1"/>
    <col min="12" max="12" width="11.1796875" customWidth="1"/>
    <col min="13" max="13" width="11.54296875" customWidth="1"/>
    <col min="14" max="14" width="10.7265625" customWidth="1"/>
    <col min="15" max="15" width="11.1796875" customWidth="1"/>
    <col min="16" max="16" width="10.54296875" customWidth="1"/>
    <col min="17" max="17" width="12.26953125" bestFit="1" customWidth="1"/>
  </cols>
  <sheetData>
    <row r="1" spans="1:17" ht="15" customHeight="1">
      <c r="A1" s="654"/>
      <c r="B1" s="654"/>
      <c r="C1" s="654"/>
      <c r="D1" s="654"/>
      <c r="E1" s="654"/>
      <c r="F1" s="654"/>
      <c r="G1" s="654"/>
      <c r="H1" s="655"/>
      <c r="I1" s="655"/>
      <c r="J1" s="655"/>
      <c r="K1" s="655"/>
      <c r="L1" s="655"/>
      <c r="M1" s="655"/>
      <c r="N1" s="655"/>
      <c r="O1" s="655"/>
      <c r="P1" s="655"/>
      <c r="Q1" s="655"/>
    </row>
    <row r="2" spans="1:17" ht="15" customHeight="1">
      <c r="A2" s="1154"/>
      <c r="B2" s="1154"/>
      <c r="C2" s="1154"/>
      <c r="D2" s="1154"/>
      <c r="E2" s="1154"/>
      <c r="F2" s="1154"/>
      <c r="G2" s="1154"/>
      <c r="H2" s="1154"/>
      <c r="I2" s="1154"/>
      <c r="J2" s="1154"/>
      <c r="K2" s="1154"/>
      <c r="L2" s="1154"/>
      <c r="M2" s="1154"/>
      <c r="N2" s="1154"/>
      <c r="O2" s="1154"/>
      <c r="P2" s="1154"/>
      <c r="Q2" s="1154"/>
    </row>
    <row r="3" spans="1:17" ht="15" customHeight="1">
      <c r="A3" s="1155"/>
      <c r="B3" s="1155"/>
      <c r="C3" s="1155"/>
      <c r="D3" s="1155"/>
      <c r="E3" s="1155"/>
      <c r="F3" s="1155"/>
      <c r="G3" s="1155"/>
      <c r="H3" s="1155"/>
      <c r="I3" s="1155"/>
      <c r="J3" s="1155"/>
      <c r="K3" s="1155"/>
      <c r="L3" s="1155"/>
      <c r="M3" s="1155"/>
      <c r="N3" s="1155"/>
      <c r="O3" s="1155"/>
      <c r="P3" s="1155"/>
      <c r="Q3" s="1155"/>
    </row>
    <row r="4" spans="1:17" ht="15" customHeight="1">
      <c r="A4" s="1155"/>
      <c r="B4" s="1155"/>
      <c r="C4" s="1155"/>
      <c r="D4" s="1155"/>
      <c r="E4" s="1155"/>
      <c r="F4" s="1155"/>
      <c r="G4" s="1155"/>
      <c r="H4" s="1155"/>
      <c r="I4" s="1155"/>
      <c r="J4" s="1155"/>
      <c r="K4" s="1155"/>
      <c r="L4" s="1155"/>
      <c r="M4" s="1155"/>
      <c r="N4" s="1155"/>
      <c r="O4" s="1155"/>
      <c r="P4" s="1155"/>
      <c r="Q4" s="1155"/>
    </row>
    <row r="5" spans="1:17" ht="15" customHeight="1" thickBot="1">
      <c r="A5" s="1156"/>
      <c r="B5" s="1156"/>
      <c r="C5" s="1156"/>
      <c r="D5" s="1156"/>
      <c r="E5" s="1156"/>
      <c r="F5" s="1156"/>
      <c r="G5" s="1156"/>
      <c r="H5" s="1156"/>
      <c r="I5" s="1156"/>
      <c r="J5" s="1156"/>
      <c r="K5" s="1156"/>
      <c r="L5" s="1156"/>
      <c r="M5" s="1156"/>
      <c r="N5" s="1156"/>
      <c r="O5" s="1156"/>
      <c r="P5" s="1156"/>
      <c r="Q5" s="1156"/>
    </row>
    <row r="6" spans="1:17" ht="15" customHeight="1">
      <c r="A6" s="656"/>
      <c r="B6" s="657"/>
      <c r="C6" s="657"/>
      <c r="D6" s="262"/>
      <c r="E6" s="262"/>
      <c r="F6" s="262"/>
      <c r="G6" s="262"/>
      <c r="H6" s="262"/>
      <c r="I6" s="263"/>
      <c r="J6" s="656" t="s">
        <v>74</v>
      </c>
      <c r="K6" s="9"/>
      <c r="L6" s="9"/>
      <c r="M6" s="9"/>
      <c r="N6" s="11"/>
      <c r="O6" s="9"/>
      <c r="P6" s="658" t="s">
        <v>522</v>
      </c>
      <c r="Q6" s="659"/>
    </row>
    <row r="7" spans="1:17" ht="15" customHeight="1" thickBot="1">
      <c r="A7" s="660" t="str">
        <f>+'CDA9'!A9</f>
        <v>INSTITUCIÓN EDUCATIVA  AGROPISCÍCOLA LAS COMPUERTAS</v>
      </c>
      <c r="B7" s="661"/>
      <c r="C7" s="661"/>
      <c r="D7" s="661"/>
      <c r="E7" s="662"/>
      <c r="F7" s="661"/>
      <c r="G7" s="663"/>
      <c r="H7" s="441"/>
      <c r="I7" s="664"/>
      <c r="J7" s="665" t="str">
        <f>+'CDA9'!F9</f>
        <v>900678838-1</v>
      </c>
      <c r="K7" s="441"/>
      <c r="L7" s="441"/>
      <c r="M7" s="441"/>
      <c r="N7" s="629"/>
      <c r="O7" s="441"/>
      <c r="P7" s="441"/>
      <c r="Q7" s="666"/>
    </row>
    <row r="8" spans="1:17" ht="15" customHeight="1">
      <c r="A8" s="656" t="str">
        <f>+'CDA9'!A10</f>
        <v>NOMBRE REP. LEGAL EDGARDO ESPITER LOPEZ</v>
      </c>
      <c r="B8" s="657"/>
      <c r="C8" s="657"/>
      <c r="D8" s="262"/>
      <c r="E8" s="262"/>
      <c r="F8" s="667"/>
      <c r="G8" s="28"/>
      <c r="H8" s="9"/>
      <c r="I8" s="263"/>
      <c r="J8" s="668" t="s">
        <v>572</v>
      </c>
      <c r="K8" s="9"/>
      <c r="L8" s="9"/>
      <c r="M8" s="9"/>
      <c r="N8" s="9"/>
      <c r="O8" s="9"/>
      <c r="P8" s="9"/>
      <c r="Q8" s="659"/>
    </row>
    <row r="9" spans="1:17" ht="15" customHeight="1" thickBot="1">
      <c r="A9" s="660"/>
      <c r="B9" s="661"/>
      <c r="C9" s="661"/>
      <c r="D9" s="669"/>
      <c r="E9" s="669"/>
      <c r="F9" s="662"/>
      <c r="G9" s="663"/>
      <c r="H9" s="441"/>
      <c r="I9" s="664"/>
      <c r="J9" s="660" t="str">
        <f>+'CDA8'!F11</f>
        <v>DE:   ENERO</v>
      </c>
      <c r="K9" s="441"/>
      <c r="L9" s="441"/>
      <c r="M9" s="441" t="str">
        <f>+'CDA9'!H10</f>
        <v>A.  DICIEMBRE</v>
      </c>
      <c r="N9" s="441"/>
      <c r="O9" s="441"/>
      <c r="P9" s="441"/>
      <c r="Q9" s="666"/>
    </row>
    <row r="10" spans="1:17" ht="15" customHeight="1" thickBot="1">
      <c r="A10" s="1157" t="s">
        <v>451</v>
      </c>
      <c r="B10" s="1157"/>
      <c r="C10" s="1157"/>
      <c r="D10" s="1157"/>
      <c r="E10" s="1157"/>
      <c r="F10" s="1157"/>
      <c r="G10" s="328"/>
      <c r="H10" s="328"/>
      <c r="I10" s="654"/>
      <c r="J10" s="321"/>
      <c r="K10" s="654"/>
      <c r="L10" s="321"/>
      <c r="M10" s="321"/>
      <c r="N10" s="654"/>
      <c r="O10" s="654"/>
      <c r="P10" s="654"/>
      <c r="Q10" s="670"/>
    </row>
    <row r="11" spans="1:17" ht="15" customHeight="1">
      <c r="A11" s="1158" t="s">
        <v>452</v>
      </c>
      <c r="B11" s="1159"/>
      <c r="C11" s="1159"/>
      <c r="D11" s="1160"/>
      <c r="E11" s="1135" t="s">
        <v>315</v>
      </c>
      <c r="F11" s="764" t="s">
        <v>453</v>
      </c>
      <c r="G11" s="1137" t="s">
        <v>454</v>
      </c>
      <c r="H11" s="1138"/>
      <c r="I11" s="1138"/>
      <c r="J11" s="1138"/>
      <c r="K11" s="1139"/>
      <c r="L11" s="765" t="s">
        <v>453</v>
      </c>
      <c r="M11" s="766" t="s">
        <v>455</v>
      </c>
      <c r="N11" s="1140" t="s">
        <v>456</v>
      </c>
      <c r="O11" s="1142" t="s">
        <v>457</v>
      </c>
      <c r="P11" s="1147" t="s">
        <v>458</v>
      </c>
      <c r="Q11" s="767" t="s">
        <v>459</v>
      </c>
    </row>
    <row r="12" spans="1:17" ht="15" customHeight="1">
      <c r="A12" s="1161"/>
      <c r="B12" s="1162"/>
      <c r="C12" s="1162"/>
      <c r="D12" s="1163"/>
      <c r="E12" s="1136"/>
      <c r="F12" s="672" t="s">
        <v>460</v>
      </c>
      <c r="G12" s="1149" t="s">
        <v>461</v>
      </c>
      <c r="H12" s="1150"/>
      <c r="I12" s="673" t="s">
        <v>462</v>
      </c>
      <c r="J12" s="673" t="s">
        <v>463</v>
      </c>
      <c r="K12" s="674" t="s">
        <v>464</v>
      </c>
      <c r="L12" s="675" t="s">
        <v>465</v>
      </c>
      <c r="M12" s="676" t="s">
        <v>466</v>
      </c>
      <c r="N12" s="1141"/>
      <c r="O12" s="1143"/>
      <c r="P12" s="1148"/>
      <c r="Q12" s="768" t="s">
        <v>467</v>
      </c>
    </row>
    <row r="13" spans="1:17" ht="15" customHeight="1">
      <c r="A13" s="1161"/>
      <c r="B13" s="1162"/>
      <c r="C13" s="1162"/>
      <c r="D13" s="1163"/>
      <c r="E13" s="1136"/>
      <c r="F13" s="672">
        <v>1</v>
      </c>
      <c r="G13" s="769" t="s">
        <v>468</v>
      </c>
      <c r="H13" s="770" t="s">
        <v>469</v>
      </c>
      <c r="I13" s="675">
        <v>4</v>
      </c>
      <c r="J13" s="675">
        <v>5</v>
      </c>
      <c r="K13" s="674">
        <v>6</v>
      </c>
      <c r="L13" s="675" t="s">
        <v>470</v>
      </c>
      <c r="M13" s="676">
        <v>8</v>
      </c>
      <c r="N13" s="675">
        <v>9</v>
      </c>
      <c r="O13" s="771">
        <v>10</v>
      </c>
      <c r="P13" s="763">
        <v>11</v>
      </c>
      <c r="Q13" s="768" t="s">
        <v>471</v>
      </c>
    </row>
    <row r="14" spans="1:17" s="59" customFormat="1" ht="15" customHeight="1">
      <c r="A14" s="822">
        <v>2</v>
      </c>
      <c r="B14" s="823" t="s">
        <v>241</v>
      </c>
      <c r="C14" s="822">
        <v>112988861</v>
      </c>
      <c r="D14" s="823"/>
      <c r="E14" s="823" t="s">
        <v>241</v>
      </c>
      <c r="F14" s="824">
        <f t="shared" ref="F14:K14" si="0">+F15+F19+F30</f>
        <v>27631276</v>
      </c>
      <c r="G14" s="824">
        <f t="shared" si="0"/>
        <v>33336163</v>
      </c>
      <c r="H14" s="824">
        <f t="shared" si="0"/>
        <v>33336726</v>
      </c>
      <c r="I14" s="824">
        <f t="shared" si="0"/>
        <v>0</v>
      </c>
      <c r="J14" s="824">
        <f t="shared" si="0"/>
        <v>333836</v>
      </c>
      <c r="K14" s="824">
        <f t="shared" si="0"/>
        <v>75384423.379999995</v>
      </c>
      <c r="L14" s="824">
        <f t="shared" ref="L14:Q14" si="1">+L15+L19+L30</f>
        <v>102681300.38</v>
      </c>
      <c r="M14" s="824">
        <f t="shared" si="1"/>
        <v>102658523</v>
      </c>
      <c r="N14" s="824">
        <f t="shared" si="1"/>
        <v>102618596</v>
      </c>
      <c r="O14" s="824">
        <f t="shared" si="1"/>
        <v>102614237</v>
      </c>
      <c r="P14" s="824">
        <f t="shared" si="1"/>
        <v>102658523</v>
      </c>
      <c r="Q14" s="824">
        <f t="shared" si="1"/>
        <v>18418</v>
      </c>
    </row>
    <row r="15" spans="1:17" s="59" customFormat="1" ht="15" customHeight="1">
      <c r="A15" s="822">
        <v>2511</v>
      </c>
      <c r="B15" s="823" t="s">
        <v>523</v>
      </c>
      <c r="C15" s="822">
        <v>21080000</v>
      </c>
      <c r="D15" s="823"/>
      <c r="E15" s="823" t="s">
        <v>523</v>
      </c>
      <c r="F15" s="824">
        <f t="shared" ref="F15:K15" si="2">+F16</f>
        <v>14296000</v>
      </c>
      <c r="G15" s="824">
        <f t="shared" si="2"/>
        <v>0</v>
      </c>
      <c r="H15" s="824">
        <f t="shared" si="2"/>
        <v>7002000</v>
      </c>
      <c r="I15" s="824">
        <f t="shared" si="2"/>
        <v>0</v>
      </c>
      <c r="J15" s="824">
        <f t="shared" si="2"/>
        <v>0</v>
      </c>
      <c r="K15" s="824">
        <f t="shared" si="2"/>
        <v>0</v>
      </c>
      <c r="L15" s="824">
        <f>+M16</f>
        <v>7294000</v>
      </c>
      <c r="M15" s="824">
        <f>+M16</f>
        <v>7294000</v>
      </c>
      <c r="N15" s="824">
        <f>+N16</f>
        <v>7294000</v>
      </c>
      <c r="O15" s="824">
        <f>+O16</f>
        <v>7294000</v>
      </c>
      <c r="P15" s="824">
        <f>+P16</f>
        <v>7294000</v>
      </c>
      <c r="Q15" s="824">
        <f>+Q16</f>
        <v>0</v>
      </c>
    </row>
    <row r="16" spans="1:17" ht="15" customHeight="1">
      <c r="A16" s="774">
        <v>25110</v>
      </c>
      <c r="B16" s="772" t="s">
        <v>524</v>
      </c>
      <c r="C16" s="774">
        <v>21080000</v>
      </c>
      <c r="D16" s="772"/>
      <c r="E16" s="772" t="s">
        <v>524</v>
      </c>
      <c r="F16" s="775">
        <f>+F17+F18</f>
        <v>14296000</v>
      </c>
      <c r="G16" s="775">
        <f t="shared" ref="G16:P16" si="3">+G17+G18</f>
        <v>0</v>
      </c>
      <c r="H16" s="775">
        <f t="shared" si="3"/>
        <v>7002000</v>
      </c>
      <c r="I16" s="775">
        <f t="shared" si="3"/>
        <v>0</v>
      </c>
      <c r="J16" s="775">
        <f t="shared" si="3"/>
        <v>0</v>
      </c>
      <c r="K16" s="775">
        <f t="shared" si="3"/>
        <v>0</v>
      </c>
      <c r="L16" s="775">
        <f t="shared" si="3"/>
        <v>7294000</v>
      </c>
      <c r="M16" s="775">
        <f t="shared" si="3"/>
        <v>7294000</v>
      </c>
      <c r="N16" s="775">
        <f t="shared" si="3"/>
        <v>7294000</v>
      </c>
      <c r="O16" s="775">
        <f t="shared" si="3"/>
        <v>7294000</v>
      </c>
      <c r="P16" s="775">
        <f t="shared" si="3"/>
        <v>7294000</v>
      </c>
      <c r="Q16" s="775">
        <f>+L16-P16</f>
        <v>0</v>
      </c>
    </row>
    <row r="17" spans="1:17" ht="15" customHeight="1">
      <c r="A17" s="774">
        <v>2511006</v>
      </c>
      <c r="B17" s="772" t="s">
        <v>525</v>
      </c>
      <c r="C17" s="774">
        <v>11000000</v>
      </c>
      <c r="D17" s="772"/>
      <c r="E17" s="772" t="s">
        <v>525</v>
      </c>
      <c r="F17" s="775">
        <v>4336000</v>
      </c>
      <c r="G17" s="762">
        <v>0</v>
      </c>
      <c r="H17" s="775">
        <v>4336000</v>
      </c>
      <c r="I17" s="776">
        <v>0</v>
      </c>
      <c r="J17" s="775">
        <v>0</v>
      </c>
      <c r="K17" s="775">
        <v>0</v>
      </c>
      <c r="L17" s="775">
        <f>+F17+G17-H17-J17+K17</f>
        <v>0</v>
      </c>
      <c r="M17" s="775">
        <v>0</v>
      </c>
      <c r="N17" s="775">
        <f t="shared" ref="N17:P18" si="4">+M17</f>
        <v>0</v>
      </c>
      <c r="O17" s="966">
        <f t="shared" si="4"/>
        <v>0</v>
      </c>
      <c r="P17" s="775">
        <f t="shared" si="4"/>
        <v>0</v>
      </c>
      <c r="Q17" s="775">
        <f>+L17-P17</f>
        <v>0</v>
      </c>
    </row>
    <row r="18" spans="1:17" ht="15" customHeight="1">
      <c r="A18" s="774">
        <v>2511009</v>
      </c>
      <c r="B18" s="772" t="s">
        <v>550</v>
      </c>
      <c r="C18" s="774">
        <v>10080000</v>
      </c>
      <c r="D18" s="772"/>
      <c r="E18" s="772" t="s">
        <v>550</v>
      </c>
      <c r="F18" s="775">
        <v>9960000</v>
      </c>
      <c r="G18" s="775">
        <v>0</v>
      </c>
      <c r="H18" s="775">
        <v>2666000</v>
      </c>
      <c r="I18" s="776">
        <v>0</v>
      </c>
      <c r="J18" s="829">
        <v>0</v>
      </c>
      <c r="K18" s="775">
        <v>0</v>
      </c>
      <c r="L18" s="775">
        <f>+F18+G18-H18-J18+K18</f>
        <v>7294000</v>
      </c>
      <c r="M18" s="775">
        <f>+L18</f>
        <v>7294000</v>
      </c>
      <c r="N18" s="775">
        <f t="shared" si="4"/>
        <v>7294000</v>
      </c>
      <c r="O18" s="966">
        <f t="shared" si="4"/>
        <v>7294000</v>
      </c>
      <c r="P18" s="775">
        <f t="shared" si="4"/>
        <v>7294000</v>
      </c>
      <c r="Q18" s="775">
        <f>+L18-P18</f>
        <v>0</v>
      </c>
    </row>
    <row r="19" spans="1:17" s="59" customFormat="1" ht="15" customHeight="1">
      <c r="A19" s="822">
        <v>2551</v>
      </c>
      <c r="B19" s="823" t="s">
        <v>526</v>
      </c>
      <c r="C19" s="822">
        <v>57415861</v>
      </c>
      <c r="D19" s="823"/>
      <c r="E19" s="823" t="s">
        <v>526</v>
      </c>
      <c r="F19" s="824">
        <f t="shared" ref="F19:K19" si="5">SUM(F20:F29)</f>
        <v>9335276</v>
      </c>
      <c r="G19" s="824">
        <f t="shared" si="5"/>
        <v>29683663</v>
      </c>
      <c r="H19" s="824">
        <f t="shared" si="5"/>
        <v>15076190</v>
      </c>
      <c r="I19" s="824">
        <f t="shared" si="5"/>
        <v>0</v>
      </c>
      <c r="J19" s="824">
        <f t="shared" si="5"/>
        <v>333836</v>
      </c>
      <c r="K19" s="824">
        <f t="shared" si="5"/>
        <v>27696140.379999999</v>
      </c>
      <c r="L19" s="824">
        <f t="shared" ref="L19:Q19" si="6">SUM(L20:L29)</f>
        <v>51305053.379999995</v>
      </c>
      <c r="M19" s="824">
        <f t="shared" si="6"/>
        <v>51282276</v>
      </c>
      <c r="N19" s="824">
        <f t="shared" si="6"/>
        <v>51242349</v>
      </c>
      <c r="O19" s="824">
        <f t="shared" si="6"/>
        <v>51237990</v>
      </c>
      <c r="P19" s="824">
        <f t="shared" si="6"/>
        <v>51282276</v>
      </c>
      <c r="Q19" s="824">
        <f t="shared" si="6"/>
        <v>18418</v>
      </c>
    </row>
    <row r="20" spans="1:17" s="235" customFormat="1" ht="15" customHeight="1">
      <c r="A20" s="774">
        <v>2551115</v>
      </c>
      <c r="B20" s="772" t="s">
        <v>527</v>
      </c>
      <c r="C20" s="774">
        <v>6000000</v>
      </c>
      <c r="D20" s="772"/>
      <c r="E20" s="772" t="s">
        <v>527</v>
      </c>
      <c r="F20" s="775">
        <v>874774</v>
      </c>
      <c r="G20" s="775">
        <v>0</v>
      </c>
      <c r="H20" s="775">
        <v>540938</v>
      </c>
      <c r="I20" s="775">
        <v>0</v>
      </c>
      <c r="J20" s="829">
        <v>333836</v>
      </c>
      <c r="K20" s="775">
        <v>0</v>
      </c>
      <c r="L20" s="775">
        <f t="shared" ref="L20:L29" si="7">+F20+G20-H20-J20+K20</f>
        <v>0</v>
      </c>
      <c r="M20" s="775">
        <v>0</v>
      </c>
      <c r="N20" s="775">
        <f t="shared" ref="N20:P29" si="8">+M20</f>
        <v>0</v>
      </c>
      <c r="O20" s="966">
        <f t="shared" si="8"/>
        <v>0</v>
      </c>
      <c r="P20" s="775">
        <f t="shared" si="8"/>
        <v>0</v>
      </c>
      <c r="Q20" s="775">
        <f t="shared" ref="Q20:Q29" si="9">+L20-P20</f>
        <v>0</v>
      </c>
    </row>
    <row r="21" spans="1:17" ht="15" customHeight="1">
      <c r="A21" s="774">
        <v>2551116</v>
      </c>
      <c r="B21" s="772" t="s">
        <v>528</v>
      </c>
      <c r="C21" s="774">
        <v>14000000</v>
      </c>
      <c r="D21" s="772"/>
      <c r="E21" s="772" t="s">
        <v>528</v>
      </c>
      <c r="F21" s="775">
        <v>2300000</v>
      </c>
      <c r="G21" s="775">
        <v>11421291</v>
      </c>
      <c r="H21" s="775">
        <v>12834126</v>
      </c>
      <c r="I21" s="776">
        <v>0</v>
      </c>
      <c r="J21" s="829">
        <v>0</v>
      </c>
      <c r="K21" s="775">
        <v>23636514</v>
      </c>
      <c r="L21" s="775">
        <f t="shared" si="7"/>
        <v>24523679</v>
      </c>
      <c r="M21" s="775">
        <v>24523679</v>
      </c>
      <c r="N21" s="775">
        <f t="shared" si="8"/>
        <v>24523679</v>
      </c>
      <c r="O21" s="966">
        <f t="shared" si="8"/>
        <v>24523679</v>
      </c>
      <c r="P21" s="775">
        <f t="shared" si="8"/>
        <v>24523679</v>
      </c>
      <c r="Q21" s="775">
        <f t="shared" si="9"/>
        <v>0</v>
      </c>
    </row>
    <row r="22" spans="1:17" ht="15" customHeight="1">
      <c r="A22" s="774">
        <v>2551121</v>
      </c>
      <c r="B22" s="772"/>
      <c r="C22" s="774"/>
      <c r="D22" s="772"/>
      <c r="E22" s="772" t="s">
        <v>553</v>
      </c>
      <c r="F22" s="775">
        <v>500000</v>
      </c>
      <c r="G22" s="775">
        <v>0</v>
      </c>
      <c r="H22" s="775">
        <v>500000</v>
      </c>
      <c r="I22" s="776">
        <v>0</v>
      </c>
      <c r="J22" s="829">
        <v>0</v>
      </c>
      <c r="K22" s="775">
        <v>0</v>
      </c>
      <c r="L22" s="775">
        <f t="shared" si="7"/>
        <v>0</v>
      </c>
      <c r="M22" s="775"/>
      <c r="N22" s="775">
        <f t="shared" si="8"/>
        <v>0</v>
      </c>
      <c r="O22" s="966">
        <f t="shared" si="8"/>
        <v>0</v>
      </c>
      <c r="P22" s="775">
        <f t="shared" si="8"/>
        <v>0</v>
      </c>
      <c r="Q22" s="775">
        <f t="shared" si="9"/>
        <v>0</v>
      </c>
    </row>
    <row r="23" spans="1:17" ht="15" customHeight="1">
      <c r="A23" s="774">
        <v>2551123</v>
      </c>
      <c r="B23" s="772" t="s">
        <v>529</v>
      </c>
      <c r="C23" s="774">
        <v>600000</v>
      </c>
      <c r="D23" s="772"/>
      <c r="E23" s="772" t="s">
        <v>529</v>
      </c>
      <c r="F23" s="762">
        <v>0</v>
      </c>
      <c r="G23" s="775">
        <v>0</v>
      </c>
      <c r="H23" s="775">
        <v>0</v>
      </c>
      <c r="I23" s="776">
        <v>0</v>
      </c>
      <c r="J23" s="829">
        <v>0</v>
      </c>
      <c r="K23" s="775"/>
      <c r="L23" s="775">
        <f t="shared" si="7"/>
        <v>0</v>
      </c>
      <c r="M23" s="775"/>
      <c r="N23" s="775">
        <f t="shared" si="8"/>
        <v>0</v>
      </c>
      <c r="O23" s="966">
        <f t="shared" si="8"/>
        <v>0</v>
      </c>
      <c r="P23" s="775">
        <f t="shared" si="8"/>
        <v>0</v>
      </c>
      <c r="Q23" s="775">
        <f t="shared" si="9"/>
        <v>0</v>
      </c>
    </row>
    <row r="24" spans="1:17" ht="15" customHeight="1">
      <c r="A24" s="774">
        <v>2551125</v>
      </c>
      <c r="B24" s="772" t="s">
        <v>530</v>
      </c>
      <c r="C24" s="774">
        <v>2500000</v>
      </c>
      <c r="D24" s="772"/>
      <c r="E24" s="772" t="s">
        <v>530</v>
      </c>
      <c r="F24" s="775">
        <v>2002502</v>
      </c>
      <c r="G24" s="775">
        <v>16809</v>
      </c>
      <c r="H24" s="775">
        <v>0</v>
      </c>
      <c r="I24" s="776">
        <v>0</v>
      </c>
      <c r="J24" s="829">
        <v>0</v>
      </c>
      <c r="K24" s="775"/>
      <c r="L24" s="775">
        <f t="shared" si="7"/>
        <v>2019311</v>
      </c>
      <c r="M24" s="775">
        <v>2019311</v>
      </c>
      <c r="N24" s="775">
        <f t="shared" si="8"/>
        <v>2019311</v>
      </c>
      <c r="O24" s="966">
        <f t="shared" si="8"/>
        <v>2019311</v>
      </c>
      <c r="P24" s="775">
        <f t="shared" si="8"/>
        <v>2019311</v>
      </c>
      <c r="Q24" s="775">
        <f t="shared" si="9"/>
        <v>0</v>
      </c>
    </row>
    <row r="25" spans="1:17" ht="15" customHeight="1">
      <c r="A25" s="774" t="s">
        <v>586</v>
      </c>
      <c r="B25" s="772" t="s">
        <v>531</v>
      </c>
      <c r="C25" s="774">
        <v>915861</v>
      </c>
      <c r="D25" s="772"/>
      <c r="E25" s="772" t="s">
        <v>587</v>
      </c>
      <c r="F25" s="775">
        <v>1200000</v>
      </c>
      <c r="G25" s="775">
        <v>0</v>
      </c>
      <c r="H25" s="775">
        <v>1200000</v>
      </c>
      <c r="I25" s="776">
        <v>0</v>
      </c>
      <c r="J25" s="829">
        <v>0</v>
      </c>
      <c r="K25" s="775"/>
      <c r="L25" s="775">
        <f t="shared" si="7"/>
        <v>0</v>
      </c>
      <c r="M25" s="762">
        <f>+L25</f>
        <v>0</v>
      </c>
      <c r="N25" s="775">
        <f t="shared" si="8"/>
        <v>0</v>
      </c>
      <c r="O25" s="966">
        <f t="shared" si="8"/>
        <v>0</v>
      </c>
      <c r="P25" s="775">
        <f t="shared" si="8"/>
        <v>0</v>
      </c>
      <c r="Q25" s="775">
        <f t="shared" si="9"/>
        <v>0</v>
      </c>
    </row>
    <row r="26" spans="1:17" ht="15" customHeight="1">
      <c r="A26" s="774">
        <v>2551123</v>
      </c>
      <c r="B26" s="772"/>
      <c r="C26" s="774"/>
      <c r="D26" s="772"/>
      <c r="E26" s="772" t="s">
        <v>529</v>
      </c>
      <c r="F26" s="775">
        <v>0</v>
      </c>
      <c r="G26" s="775">
        <v>0</v>
      </c>
      <c r="H26" s="775">
        <v>0</v>
      </c>
      <c r="I26" s="776">
        <v>0</v>
      </c>
      <c r="J26" s="829">
        <v>0</v>
      </c>
      <c r="K26" s="775"/>
      <c r="L26" s="775">
        <f t="shared" si="7"/>
        <v>0</v>
      </c>
      <c r="M26" s="775"/>
      <c r="N26" s="775">
        <f t="shared" si="8"/>
        <v>0</v>
      </c>
      <c r="O26" s="966">
        <f t="shared" si="8"/>
        <v>0</v>
      </c>
      <c r="P26" s="775">
        <f t="shared" si="8"/>
        <v>0</v>
      </c>
      <c r="Q26" s="775">
        <f t="shared" si="9"/>
        <v>0</v>
      </c>
    </row>
    <row r="27" spans="1:17" ht="15" customHeight="1">
      <c r="A27" s="774">
        <v>2551131</v>
      </c>
      <c r="B27" s="772"/>
      <c r="C27" s="774"/>
      <c r="D27" s="772"/>
      <c r="E27" s="772" t="s">
        <v>532</v>
      </c>
      <c r="F27" s="775">
        <v>0</v>
      </c>
      <c r="G27" s="775">
        <v>0</v>
      </c>
      <c r="H27" s="775">
        <v>0</v>
      </c>
      <c r="I27" s="776">
        <v>0</v>
      </c>
      <c r="J27" s="829">
        <v>0</v>
      </c>
      <c r="K27" s="775"/>
      <c r="L27" s="775">
        <f t="shared" si="7"/>
        <v>0</v>
      </c>
      <c r="M27" s="762"/>
      <c r="N27" s="775">
        <f t="shared" si="8"/>
        <v>0</v>
      </c>
      <c r="O27" s="966">
        <f t="shared" si="8"/>
        <v>0</v>
      </c>
      <c r="P27" s="775">
        <f t="shared" si="8"/>
        <v>0</v>
      </c>
      <c r="Q27" s="775">
        <f t="shared" si="9"/>
        <v>0</v>
      </c>
    </row>
    <row r="28" spans="1:17" ht="15" customHeight="1">
      <c r="A28" s="774" t="s">
        <v>588</v>
      </c>
      <c r="B28" s="772"/>
      <c r="C28" s="774"/>
      <c r="D28" s="772"/>
      <c r="E28" s="772" t="s">
        <v>589</v>
      </c>
      <c r="F28" s="775">
        <v>8000</v>
      </c>
      <c r="G28" s="775">
        <v>563</v>
      </c>
      <c r="H28" s="775">
        <v>1126</v>
      </c>
      <c r="I28" s="776"/>
      <c r="J28" s="829"/>
      <c r="K28" s="775">
        <v>49626.38</v>
      </c>
      <c r="L28" s="775">
        <f t="shared" si="7"/>
        <v>57063.38</v>
      </c>
      <c r="M28" s="762">
        <v>44286</v>
      </c>
      <c r="N28" s="775">
        <v>4359</v>
      </c>
      <c r="O28" s="966">
        <v>0</v>
      </c>
      <c r="P28" s="775">
        <f>+M28</f>
        <v>44286</v>
      </c>
      <c r="Q28" s="775">
        <v>8418</v>
      </c>
    </row>
    <row r="29" spans="1:17" ht="15" customHeight="1">
      <c r="A29" s="774">
        <v>2551137</v>
      </c>
      <c r="B29" s="772"/>
      <c r="C29" s="774"/>
      <c r="D29" s="772"/>
      <c r="E29" s="772" t="s">
        <v>533</v>
      </c>
      <c r="F29" s="775">
        <v>2450000</v>
      </c>
      <c r="G29" s="775">
        <v>18245000</v>
      </c>
      <c r="H29" s="775">
        <v>0</v>
      </c>
      <c r="I29" s="776">
        <v>0</v>
      </c>
      <c r="J29" s="775">
        <v>0</v>
      </c>
      <c r="K29" s="775">
        <v>4010000</v>
      </c>
      <c r="L29" s="775">
        <f t="shared" si="7"/>
        <v>24705000</v>
      </c>
      <c r="M29" s="775">
        <v>24695000</v>
      </c>
      <c r="N29" s="775">
        <f t="shared" si="8"/>
        <v>24695000</v>
      </c>
      <c r="O29" s="966">
        <f t="shared" si="8"/>
        <v>24695000</v>
      </c>
      <c r="P29" s="775">
        <f t="shared" si="8"/>
        <v>24695000</v>
      </c>
      <c r="Q29" s="775">
        <f t="shared" si="9"/>
        <v>10000</v>
      </c>
    </row>
    <row r="30" spans="1:17" s="59" customFormat="1" ht="15" customHeight="1">
      <c r="A30" s="822">
        <v>266</v>
      </c>
      <c r="B30" s="823"/>
      <c r="C30" s="822"/>
      <c r="D30" s="823"/>
      <c r="E30" s="823" t="s">
        <v>534</v>
      </c>
      <c r="F30" s="824">
        <f t="shared" ref="F30:K30" si="10">+F31+F32</f>
        <v>4000000</v>
      </c>
      <c r="G30" s="824">
        <f t="shared" si="10"/>
        <v>3652500</v>
      </c>
      <c r="H30" s="824">
        <f t="shared" si="10"/>
        <v>11258536</v>
      </c>
      <c r="I30" s="824">
        <f t="shared" si="10"/>
        <v>0</v>
      </c>
      <c r="J30" s="824">
        <f t="shared" si="10"/>
        <v>0</v>
      </c>
      <c r="K30" s="824">
        <f t="shared" si="10"/>
        <v>47688283</v>
      </c>
      <c r="L30" s="824">
        <f t="shared" ref="L30:Q30" si="11">+L31+L32</f>
        <v>44082247</v>
      </c>
      <c r="M30" s="824">
        <f t="shared" si="11"/>
        <v>44082247</v>
      </c>
      <c r="N30" s="824">
        <f t="shared" si="11"/>
        <v>44082247</v>
      </c>
      <c r="O30" s="824">
        <f t="shared" si="11"/>
        <v>44082247</v>
      </c>
      <c r="P30" s="824">
        <f t="shared" si="11"/>
        <v>44082247</v>
      </c>
      <c r="Q30" s="824">
        <f t="shared" si="11"/>
        <v>0</v>
      </c>
    </row>
    <row r="31" spans="1:17" ht="15" customHeight="1">
      <c r="A31" s="774">
        <v>2665502</v>
      </c>
      <c r="B31" s="772"/>
      <c r="C31" s="774"/>
      <c r="D31" s="772"/>
      <c r="E31" s="772" t="s">
        <v>535</v>
      </c>
      <c r="F31" s="775">
        <v>4000000</v>
      </c>
      <c r="G31" s="775">
        <f>2600000+1052500</f>
        <v>3652500</v>
      </c>
      <c r="H31" s="775">
        <v>11111450</v>
      </c>
      <c r="I31" s="776">
        <v>0</v>
      </c>
      <c r="J31" s="775">
        <v>0</v>
      </c>
      <c r="K31" s="775">
        <v>19200000</v>
      </c>
      <c r="L31" s="775">
        <f>+F31+G31-H31-J31+K31</f>
        <v>15741050</v>
      </c>
      <c r="M31" s="775">
        <f>14688550+1052500</f>
        <v>15741050</v>
      </c>
      <c r="N31" s="775">
        <f t="shared" ref="N31:P32" si="12">+M31</f>
        <v>15741050</v>
      </c>
      <c r="O31" s="966">
        <f t="shared" si="12"/>
        <v>15741050</v>
      </c>
      <c r="P31" s="775">
        <f t="shared" si="12"/>
        <v>15741050</v>
      </c>
      <c r="Q31" s="775">
        <f>+L31-P31</f>
        <v>0</v>
      </c>
    </row>
    <row r="32" spans="1:17" ht="15" customHeight="1" thickBot="1">
      <c r="A32" s="774">
        <v>2667003</v>
      </c>
      <c r="B32" s="772"/>
      <c r="C32" s="774"/>
      <c r="D32" s="772"/>
      <c r="E32" s="772" t="s">
        <v>536</v>
      </c>
      <c r="F32" s="775">
        <v>0</v>
      </c>
      <c r="G32" s="775">
        <v>0</v>
      </c>
      <c r="H32" s="775">
        <v>147086</v>
      </c>
      <c r="I32" s="776">
        <v>0</v>
      </c>
      <c r="J32" s="775">
        <v>0</v>
      </c>
      <c r="K32" s="775">
        <v>28488283</v>
      </c>
      <c r="L32" s="775">
        <f>+F32+G32-H32-J32+K32</f>
        <v>28341197</v>
      </c>
      <c r="M32" s="775">
        <v>28341197</v>
      </c>
      <c r="N32" s="775">
        <f t="shared" si="12"/>
        <v>28341197</v>
      </c>
      <c r="O32" s="966">
        <f t="shared" si="12"/>
        <v>28341197</v>
      </c>
      <c r="P32" s="775">
        <f t="shared" si="12"/>
        <v>28341197</v>
      </c>
      <c r="Q32" s="775">
        <f>+L32-P32</f>
        <v>0</v>
      </c>
    </row>
    <row r="33" spans="1:17" ht="15" customHeight="1" thickBot="1">
      <c r="A33" s="1151"/>
      <c r="B33" s="1152"/>
      <c r="C33" s="1152"/>
      <c r="D33" s="1153"/>
      <c r="E33" s="777" t="s">
        <v>146</v>
      </c>
      <c r="F33" s="967">
        <f>+F30+F19+F15</f>
        <v>27631276</v>
      </c>
      <c r="G33" s="967">
        <f t="shared" ref="G33:Q33" si="13">+G30+G19+G15</f>
        <v>33336163</v>
      </c>
      <c r="H33" s="967">
        <f t="shared" si="13"/>
        <v>33336726</v>
      </c>
      <c r="I33" s="967">
        <f t="shared" si="13"/>
        <v>0</v>
      </c>
      <c r="J33" s="967">
        <f t="shared" si="13"/>
        <v>333836</v>
      </c>
      <c r="K33" s="967">
        <f t="shared" si="13"/>
        <v>75384423.379999995</v>
      </c>
      <c r="L33" s="967">
        <f t="shared" si="13"/>
        <v>102681300.38</v>
      </c>
      <c r="M33" s="967">
        <f t="shared" si="13"/>
        <v>102658523</v>
      </c>
      <c r="N33" s="967">
        <f t="shared" si="13"/>
        <v>102618596</v>
      </c>
      <c r="O33" s="967">
        <f t="shared" si="13"/>
        <v>102614237</v>
      </c>
      <c r="P33" s="967">
        <f t="shared" si="13"/>
        <v>102658523</v>
      </c>
      <c r="Q33" s="967">
        <f t="shared" si="13"/>
        <v>18418</v>
      </c>
    </row>
    <row r="34" spans="1:17" ht="15" customHeight="1">
      <c r="A34" s="668" t="s">
        <v>472</v>
      </c>
      <c r="B34" s="678"/>
      <c r="C34" s="678"/>
      <c r="D34" s="678"/>
      <c r="E34" s="679"/>
      <c r="F34" s="685"/>
      <c r="G34" s="685"/>
      <c r="H34" s="685"/>
      <c r="I34" s="685"/>
      <c r="J34" s="685"/>
      <c r="K34" s="685"/>
      <c r="L34" s="685"/>
      <c r="M34" s="683"/>
      <c r="N34" s="684"/>
      <c r="O34" s="685"/>
      <c r="P34" s="654"/>
      <c r="Q34" s="686"/>
    </row>
    <row r="35" spans="1:17" ht="15" customHeight="1">
      <c r="A35" s="680" t="s">
        <v>473</v>
      </c>
      <c r="B35" s="681"/>
      <c r="C35" s="681"/>
      <c r="D35" s="681"/>
      <c r="E35" s="682"/>
      <c r="F35" s="682"/>
      <c r="G35" s="682"/>
      <c r="H35" s="682"/>
      <c r="I35" s="682"/>
      <c r="J35" s="682"/>
      <c r="K35" s="682"/>
      <c r="L35" s="682"/>
      <c r="M35" s="683"/>
      <c r="N35" s="684"/>
      <c r="O35" s="685"/>
      <c r="P35" s="654"/>
      <c r="Q35" s="686"/>
    </row>
    <row r="36" spans="1:17" ht="15" customHeight="1">
      <c r="A36" s="687" t="s">
        <v>474</v>
      </c>
      <c r="B36" s="681"/>
      <c r="C36" s="681"/>
      <c r="D36" s="681"/>
      <c r="E36" s="682"/>
      <c r="F36" s="682"/>
      <c r="G36" s="682"/>
      <c r="H36" s="682"/>
      <c r="I36" s="682"/>
      <c r="J36" s="682"/>
      <c r="K36" s="682"/>
      <c r="L36" s="980"/>
      <c r="M36" s="683"/>
      <c r="N36" s="684"/>
      <c r="O36" s="685"/>
      <c r="P36" s="654"/>
      <c r="Q36" s="686"/>
    </row>
    <row r="37" spans="1:17" ht="15" customHeight="1">
      <c r="A37" s="688" t="s">
        <v>283</v>
      </c>
      <c r="B37" s="689"/>
      <c r="C37" s="689"/>
      <c r="D37" s="689"/>
      <c r="E37" s="685"/>
      <c r="F37" s="685"/>
      <c r="G37" s="979"/>
      <c r="H37" s="979"/>
      <c r="I37" s="685"/>
      <c r="J37" s="685"/>
      <c r="K37" s="979"/>
      <c r="L37" s="685"/>
      <c r="M37" s="683"/>
      <c r="N37" s="684"/>
      <c r="O37" s="685"/>
      <c r="P37" s="654"/>
      <c r="Q37" s="686"/>
    </row>
    <row r="38" spans="1:17" ht="15" customHeight="1">
      <c r="A38" s="688"/>
      <c r="B38" s="689"/>
      <c r="C38" s="689"/>
      <c r="D38" s="689"/>
      <c r="E38" s="685"/>
      <c r="F38" s="685"/>
      <c r="G38" s="685"/>
      <c r="H38" s="685"/>
      <c r="I38" s="685"/>
      <c r="J38" s="685"/>
      <c r="K38" s="685"/>
      <c r="L38" s="685"/>
      <c r="M38" s="683"/>
      <c r="N38" s="684"/>
      <c r="O38" s="685"/>
      <c r="P38" s="654"/>
      <c r="Q38" s="686"/>
    </row>
    <row r="39" spans="1:17" ht="15" customHeight="1" thickBot="1">
      <c r="A39" s="690"/>
      <c r="B39" s="691"/>
      <c r="C39" s="691"/>
      <c r="D39" s="691"/>
      <c r="E39" s="691"/>
      <c r="F39" s="691"/>
      <c r="G39" s="691"/>
      <c r="H39" s="691"/>
      <c r="I39" s="691"/>
      <c r="J39" s="691"/>
      <c r="K39" s="691"/>
      <c r="L39" s="691"/>
      <c r="M39" s="692"/>
      <c r="N39" s="1144" t="s">
        <v>32</v>
      </c>
      <c r="O39" s="1145"/>
      <c r="P39" s="1145"/>
      <c r="Q39" s="1146"/>
    </row>
  </sheetData>
  <mergeCells count="14">
    <mergeCell ref="A33:D33"/>
    <mergeCell ref="A2:Q2"/>
    <mergeCell ref="A3:Q3"/>
    <mergeCell ref="A4:Q4"/>
    <mergeCell ref="A5:Q5"/>
    <mergeCell ref="A10:F10"/>
    <mergeCell ref="A11:D13"/>
    <mergeCell ref="E11:E13"/>
    <mergeCell ref="G11:K11"/>
    <mergeCell ref="N11:N12"/>
    <mergeCell ref="O11:O12"/>
    <mergeCell ref="N39:Q39"/>
    <mergeCell ref="P11:P12"/>
    <mergeCell ref="G12:H12"/>
  </mergeCells>
  <pageMargins left="0.35433070866141736" right="0.35433070866141736" top="0.19685039370078741" bottom="0.19685039370078741" header="0.51181102362204722" footer="0.51181102362204722"/>
  <pageSetup paperSize="5" scale="95" firstPageNumber="0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0EED-5783-416F-BAD4-B71C58EE2134}">
  <sheetPr>
    <tabColor rgb="FF92D050"/>
  </sheetPr>
  <dimension ref="A1:H34"/>
  <sheetViews>
    <sheetView zoomScale="75" zoomScaleNormal="75" workbookViewId="0">
      <selection activeCell="F12" sqref="F12"/>
    </sheetView>
  </sheetViews>
  <sheetFormatPr baseColWidth="10" defaultRowHeight="12.5"/>
  <cols>
    <col min="1" max="1" width="30.81640625" customWidth="1"/>
    <col min="2" max="2" width="18.81640625" customWidth="1"/>
    <col min="3" max="6" width="18.7265625" customWidth="1"/>
    <col min="7" max="7" width="14.7265625" customWidth="1"/>
    <col min="8" max="8" width="14.81640625" customWidth="1"/>
  </cols>
  <sheetData>
    <row r="1" spans="1:8">
      <c r="A1" s="654"/>
      <c r="B1" s="654"/>
      <c r="C1" s="654"/>
      <c r="D1" s="654"/>
      <c r="E1" s="654"/>
      <c r="F1" s="654"/>
      <c r="G1" s="654"/>
      <c r="H1" s="654"/>
    </row>
    <row r="2" spans="1:8" ht="28">
      <c r="A2" s="1154"/>
      <c r="B2" s="1154"/>
      <c r="C2" s="1154"/>
      <c r="D2" s="1154"/>
      <c r="E2" s="1154"/>
      <c r="F2" s="1154"/>
      <c r="G2" s="1154"/>
      <c r="H2" s="1154"/>
    </row>
    <row r="3" spans="1:8" ht="15">
      <c r="A3" s="1155"/>
      <c r="B3" s="1155"/>
      <c r="C3" s="1155"/>
      <c r="D3" s="1155"/>
      <c r="E3" s="1155"/>
      <c r="F3" s="1155"/>
      <c r="G3" s="1155"/>
      <c r="H3" s="1155"/>
    </row>
    <row r="4" spans="1:8" ht="15">
      <c r="A4" s="1155"/>
      <c r="B4" s="1155"/>
      <c r="C4" s="1155"/>
      <c r="D4" s="1155"/>
      <c r="E4" s="1155"/>
      <c r="F4" s="1155"/>
      <c r="G4" s="1155"/>
      <c r="H4" s="1155"/>
    </row>
    <row r="5" spans="1:8" ht="15.5">
      <c r="A5" s="1167"/>
      <c r="B5" s="1167"/>
      <c r="C5" s="1167"/>
      <c r="D5" s="1167"/>
      <c r="E5" s="1167"/>
      <c r="F5" s="1167"/>
      <c r="G5" s="1167"/>
      <c r="H5" s="1167"/>
    </row>
    <row r="6" spans="1:8" ht="13">
      <c r="A6" s="654"/>
      <c r="B6" s="654"/>
      <c r="C6" s="654"/>
      <c r="D6" s="654"/>
      <c r="E6" s="654"/>
      <c r="F6" s="654"/>
      <c r="G6" s="654"/>
      <c r="H6" s="305"/>
    </row>
    <row r="7" spans="1:8">
      <c r="A7" s="656" t="str">
        <f>+GASTOS!A7</f>
        <v>INSTITUCIÓN EDUCATIVA  AGROPISCÍCOLA LAS COMPUERTAS</v>
      </c>
      <c r="B7" s="657"/>
      <c r="C7" s="657"/>
      <c r="D7" s="656" t="s">
        <v>74</v>
      </c>
      <c r="E7" s="47"/>
      <c r="F7" s="658" t="str">
        <f>+GASTOS!P6</f>
        <v>HOJA__1__DE_1___</v>
      </c>
      <c r="G7" s="658"/>
      <c r="H7" s="47"/>
    </row>
    <row r="8" spans="1:8" ht="13" thickBot="1">
      <c r="A8" s="660"/>
      <c r="B8" s="661"/>
      <c r="C8" s="661"/>
      <c r="D8" s="660" t="str">
        <f>+GASTOS!J7</f>
        <v>900678838-1</v>
      </c>
      <c r="E8" s="693"/>
      <c r="F8" s="661"/>
      <c r="G8" s="661"/>
      <c r="H8" s="645"/>
    </row>
    <row r="9" spans="1:8">
      <c r="A9" s="656" t="str">
        <f>+GASTOS!A8</f>
        <v>NOMBRE REP. LEGAL EDGARDO ESPITER LOPEZ</v>
      </c>
      <c r="B9" s="657"/>
      <c r="C9" s="694"/>
      <c r="D9" s="695" t="s">
        <v>573</v>
      </c>
      <c r="E9" s="3"/>
      <c r="F9" s="696"/>
      <c r="G9" s="696"/>
      <c r="H9" s="697"/>
    </row>
    <row r="10" spans="1:8">
      <c r="A10" s="660"/>
      <c r="B10" s="661"/>
      <c r="C10" s="698"/>
      <c r="D10" s="660" t="str">
        <f>+GASTOS!J9</f>
        <v>DE:   ENERO</v>
      </c>
      <c r="E10" s="53"/>
      <c r="F10" s="773" t="str">
        <f>+GASTOS!M9</f>
        <v>A.  DICIEMBRE</v>
      </c>
      <c r="G10" s="662"/>
      <c r="H10" s="645"/>
    </row>
    <row r="11" spans="1:8" ht="13">
      <c r="A11" s="10"/>
      <c r="B11" s="10"/>
      <c r="C11" s="10"/>
      <c r="D11" s="305"/>
      <c r="E11" s="305"/>
      <c r="F11" s="305"/>
      <c r="G11" s="305"/>
      <c r="H11" s="305"/>
    </row>
    <row r="12" spans="1:8" ht="13">
      <c r="A12" s="671" t="s">
        <v>451</v>
      </c>
      <c r="B12" s="10"/>
      <c r="C12" s="10"/>
      <c r="D12" s="305"/>
      <c r="E12" s="305"/>
      <c r="F12" s="305"/>
      <c r="G12" s="305"/>
      <c r="H12" s="305"/>
    </row>
    <row r="13" spans="1:8" ht="13">
      <c r="A13" s="3"/>
      <c r="B13" s="699"/>
      <c r="C13" s="699"/>
      <c r="D13" s="3"/>
      <c r="E13" s="321"/>
      <c r="F13" s="56"/>
      <c r="G13" s="56"/>
      <c r="H13" s="56"/>
    </row>
    <row r="14" spans="1:8">
      <c r="A14" s="981"/>
      <c r="B14" s="764" t="s">
        <v>79</v>
      </c>
      <c r="C14" s="1168" t="s">
        <v>475</v>
      </c>
      <c r="D14" s="1168"/>
      <c r="E14" s="764" t="s">
        <v>79</v>
      </c>
      <c r="F14" s="1169" t="s">
        <v>476</v>
      </c>
      <c r="G14" s="1171" t="s">
        <v>477</v>
      </c>
      <c r="H14" s="1172"/>
    </row>
    <row r="15" spans="1:8">
      <c r="A15" s="982" t="s">
        <v>478</v>
      </c>
      <c r="B15" s="672" t="s">
        <v>460</v>
      </c>
      <c r="C15" s="700" t="s">
        <v>464</v>
      </c>
      <c r="D15" s="701" t="s">
        <v>463</v>
      </c>
      <c r="E15" s="672" t="s">
        <v>479</v>
      </c>
      <c r="F15" s="1170"/>
      <c r="G15" s="1173" t="s">
        <v>480</v>
      </c>
      <c r="H15" s="1174"/>
    </row>
    <row r="16" spans="1:8" ht="21.65" customHeight="1">
      <c r="A16" s="983"/>
      <c r="B16" s="677">
        <v>1</v>
      </c>
      <c r="C16" s="702">
        <v>2</v>
      </c>
      <c r="D16" s="677">
        <v>3</v>
      </c>
      <c r="E16" s="677" t="s">
        <v>481</v>
      </c>
      <c r="F16" s="703">
        <v>5</v>
      </c>
      <c r="G16" s="704" t="s">
        <v>482</v>
      </c>
      <c r="H16" s="984" t="s">
        <v>483</v>
      </c>
    </row>
    <row r="17" spans="1:8">
      <c r="A17" s="985" t="s">
        <v>484</v>
      </c>
      <c r="B17" s="817"/>
      <c r="C17" s="818"/>
      <c r="D17" s="817"/>
      <c r="E17" s="849"/>
      <c r="F17" s="850"/>
      <c r="G17" s="849"/>
      <c r="H17" s="986"/>
    </row>
    <row r="18" spans="1:8">
      <c r="A18" s="987" t="s">
        <v>520</v>
      </c>
      <c r="B18" s="820"/>
      <c r="C18" s="819"/>
      <c r="D18" s="820"/>
      <c r="E18" s="819"/>
      <c r="F18" s="819"/>
      <c r="G18" s="820"/>
      <c r="H18" s="986"/>
    </row>
    <row r="19" spans="1:8" ht="13">
      <c r="A19" s="988"/>
      <c r="B19" s="820"/>
      <c r="C19" s="820"/>
      <c r="D19" s="820"/>
      <c r="E19" s="820"/>
      <c r="F19" s="820"/>
      <c r="G19" s="820"/>
      <c r="H19" s="986"/>
    </row>
    <row r="20" spans="1:8" ht="13">
      <c r="A20" s="988"/>
      <c r="B20" s="820"/>
      <c r="C20" s="820"/>
      <c r="D20" s="820"/>
      <c r="E20" s="820"/>
      <c r="F20" s="820"/>
      <c r="G20" s="820"/>
      <c r="H20" s="986"/>
    </row>
    <row r="21" spans="1:8" ht="13">
      <c r="A21" s="989" t="s">
        <v>485</v>
      </c>
      <c r="B21" s="964">
        <f>+B23</f>
        <v>874774</v>
      </c>
      <c r="C21" s="964">
        <f t="shared" ref="C21:H21" si="0">+C22+C24+C23</f>
        <v>0</v>
      </c>
      <c r="D21" s="964">
        <f t="shared" si="0"/>
        <v>333836</v>
      </c>
      <c r="E21" s="964">
        <f t="shared" si="0"/>
        <v>540938</v>
      </c>
      <c r="F21" s="964">
        <f t="shared" si="0"/>
        <v>540938</v>
      </c>
      <c r="G21" s="964">
        <f>+E21-F21</f>
        <v>0</v>
      </c>
      <c r="H21" s="990">
        <f t="shared" si="0"/>
        <v>0</v>
      </c>
    </row>
    <row r="22" spans="1:8">
      <c r="A22" s="991" t="s">
        <v>518</v>
      </c>
      <c r="B22" s="819">
        <v>0</v>
      </c>
      <c r="C22" s="820"/>
      <c r="D22" s="819"/>
      <c r="E22" s="819">
        <f>+B22+C22-D22</f>
        <v>0</v>
      </c>
      <c r="F22" s="965">
        <v>0</v>
      </c>
      <c r="G22" s="820">
        <f>+E22-F22</f>
        <v>0</v>
      </c>
      <c r="H22" s="986"/>
    </row>
    <row r="23" spans="1:8">
      <c r="A23" s="991" t="s">
        <v>521</v>
      </c>
      <c r="B23" s="819">
        <v>874774</v>
      </c>
      <c r="C23" s="820">
        <v>0</v>
      </c>
      <c r="D23" s="819">
        <v>333836</v>
      </c>
      <c r="E23" s="819">
        <f>+B23+C23-D23</f>
        <v>540938</v>
      </c>
      <c r="F23" s="965">
        <f>+E23</f>
        <v>540938</v>
      </c>
      <c r="G23" s="820">
        <f t="shared" ref="G23:G28" si="1">+E23-F23</f>
        <v>0</v>
      </c>
      <c r="H23" s="986"/>
    </row>
    <row r="24" spans="1:8">
      <c r="A24" s="992" t="s">
        <v>566</v>
      </c>
      <c r="B24" s="820">
        <v>0</v>
      </c>
      <c r="C24" s="820"/>
      <c r="D24" s="820"/>
      <c r="E24" s="819">
        <f>+B24+C24-D24</f>
        <v>0</v>
      </c>
      <c r="F24" s="965">
        <v>0</v>
      </c>
      <c r="G24" s="820">
        <f t="shared" si="1"/>
        <v>0</v>
      </c>
      <c r="H24" s="986"/>
    </row>
    <row r="25" spans="1:8" ht="13">
      <c r="A25" s="993" t="s">
        <v>486</v>
      </c>
      <c r="B25" s="964">
        <f>+B26+B28</f>
        <v>26756502</v>
      </c>
      <c r="C25" s="964">
        <f>+C26+C28+C27</f>
        <v>75384423</v>
      </c>
      <c r="D25" s="964">
        <f>+D26+D28</f>
        <v>0</v>
      </c>
      <c r="E25" s="964">
        <f>+E26+E28+E27</f>
        <v>102140925</v>
      </c>
      <c r="F25" s="964">
        <f>+F26+F28+F27</f>
        <v>102140925</v>
      </c>
      <c r="G25" s="820">
        <f t="shared" si="1"/>
        <v>0</v>
      </c>
      <c r="H25" s="990">
        <f>+H26+H28</f>
        <v>0</v>
      </c>
    </row>
    <row r="26" spans="1:8">
      <c r="A26" s="991" t="s">
        <v>519</v>
      </c>
      <c r="B26" s="819">
        <v>26748502</v>
      </c>
      <c r="C26" s="820">
        <v>71324797</v>
      </c>
      <c r="D26" s="819">
        <v>0</v>
      </c>
      <c r="E26" s="819">
        <f>+B26+C26-D26</f>
        <v>98073299</v>
      </c>
      <c r="F26" s="819">
        <f>+E26</f>
        <v>98073299</v>
      </c>
      <c r="G26" s="820">
        <f t="shared" si="1"/>
        <v>0</v>
      </c>
      <c r="H26" s="986"/>
    </row>
    <row r="27" spans="1:8">
      <c r="A27" s="991" t="s">
        <v>555</v>
      </c>
      <c r="B27" s="820"/>
      <c r="C27" s="819">
        <v>4020000</v>
      </c>
      <c r="D27" s="820">
        <v>0</v>
      </c>
      <c r="E27" s="819">
        <f>+B27+C27-D27</f>
        <v>4020000</v>
      </c>
      <c r="F27" s="819">
        <v>4020000</v>
      </c>
      <c r="G27" s="820">
        <f t="shared" si="1"/>
        <v>0</v>
      </c>
      <c r="H27" s="986"/>
    </row>
    <row r="28" spans="1:8">
      <c r="A28" s="991" t="s">
        <v>548</v>
      </c>
      <c r="B28" s="820">
        <v>8000</v>
      </c>
      <c r="C28" s="820">
        <v>39626</v>
      </c>
      <c r="D28" s="820"/>
      <c r="E28" s="819">
        <f>+B28+C28-D28</f>
        <v>47626</v>
      </c>
      <c r="F28" s="819">
        <f>+E28</f>
        <v>47626</v>
      </c>
      <c r="G28" s="820">
        <f t="shared" si="1"/>
        <v>0</v>
      </c>
      <c r="H28" s="986"/>
    </row>
    <row r="29" spans="1:8" ht="15" customHeight="1" thickBot="1">
      <c r="A29" s="994" t="s">
        <v>487</v>
      </c>
      <c r="B29" s="995">
        <f>+B25+B21</f>
        <v>27631276</v>
      </c>
      <c r="C29" s="995">
        <f t="shared" ref="C29:H29" si="2">+C25+C21</f>
        <v>75384423</v>
      </c>
      <c r="D29" s="995">
        <f t="shared" si="2"/>
        <v>333836</v>
      </c>
      <c r="E29" s="995">
        <f t="shared" si="2"/>
        <v>102681863</v>
      </c>
      <c r="F29" s="995">
        <f t="shared" si="2"/>
        <v>102681863</v>
      </c>
      <c r="G29" s="995">
        <f t="shared" si="2"/>
        <v>0</v>
      </c>
      <c r="H29" s="996">
        <f t="shared" si="2"/>
        <v>0</v>
      </c>
    </row>
    <row r="30" spans="1:8" ht="15" customHeight="1">
      <c r="A30" s="157" t="s">
        <v>488</v>
      </c>
      <c r="B30" s="705"/>
      <c r="C30" s="3"/>
      <c r="D30" s="3"/>
      <c r="E30" s="50"/>
      <c r="F30" s="48"/>
      <c r="G30" s="3"/>
      <c r="H30" s="50"/>
    </row>
    <row r="31" spans="1:8" ht="15" customHeight="1">
      <c r="A31" s="358" t="s">
        <v>489</v>
      </c>
      <c r="B31" s="705"/>
      <c r="C31" s="3"/>
      <c r="D31" s="3"/>
      <c r="E31" s="50"/>
      <c r="F31" s="48"/>
      <c r="G31" s="3"/>
      <c r="H31" s="50"/>
    </row>
    <row r="32" spans="1:8" ht="40" customHeight="1">
      <c r="A32" s="706" t="s">
        <v>210</v>
      </c>
      <c r="B32" s="705"/>
      <c r="C32" s="3"/>
      <c r="D32" s="3"/>
      <c r="E32" s="50"/>
      <c r="F32" s="48" t="s">
        <v>365</v>
      </c>
      <c r="G32" s="3"/>
      <c r="H32" s="50"/>
    </row>
    <row r="33" spans="1:8" ht="13.4" customHeight="1" thickBot="1">
      <c r="A33" s="707"/>
      <c r="B33" s="708"/>
      <c r="C33" s="53"/>
      <c r="D33" s="52"/>
      <c r="E33" s="54"/>
      <c r="F33" s="1164" t="s">
        <v>32</v>
      </c>
      <c r="G33" s="1165"/>
      <c r="H33" s="1166"/>
    </row>
    <row r="34" spans="1:8" ht="409.6" customHeight="1">
      <c r="H34" s="709"/>
    </row>
  </sheetData>
  <mergeCells count="9">
    <mergeCell ref="F33:H33"/>
    <mergeCell ref="A2:H2"/>
    <mergeCell ref="A3:H3"/>
    <mergeCell ref="A4:H4"/>
    <mergeCell ref="A5:H5"/>
    <mergeCell ref="C14:D14"/>
    <mergeCell ref="F14:F15"/>
    <mergeCell ref="G14:H14"/>
    <mergeCell ref="G15:H15"/>
  </mergeCells>
  <pageMargins left="0.98425196850393704" right="0.59055118110236227" top="0.86614173228346458" bottom="0.86614173228346458" header="0.51181102362204722" footer="0.51181102362204722"/>
  <pageSetup paperSize="5" scale="90" firstPageNumber="0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CDA1</vt:lpstr>
      <vt:lpstr>CDA2</vt:lpstr>
      <vt:lpstr>CDA3</vt:lpstr>
      <vt:lpstr>CDA4</vt:lpstr>
      <vt:lpstr>CDA5</vt:lpstr>
      <vt:lpstr>CDA6</vt:lpstr>
      <vt:lpstr>CDA7</vt:lpstr>
      <vt:lpstr>CDA8</vt:lpstr>
      <vt:lpstr>CDA9</vt:lpstr>
      <vt:lpstr>CDA10</vt:lpstr>
      <vt:lpstr>CDA11</vt:lpstr>
      <vt:lpstr>CDA12</vt:lpstr>
      <vt:lpstr>CDA13</vt:lpstr>
      <vt:lpstr>CDA14</vt:lpstr>
      <vt:lpstr>CDA15</vt:lpstr>
      <vt:lpstr>CDA16</vt:lpstr>
      <vt:lpstr>GASTOS</vt:lpstr>
      <vt:lpstr>INGRESOS</vt:lpstr>
      <vt:lpstr>CDA15!Área_de_impresión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FAMILIA</dc:creator>
  <cp:lastModifiedBy>Hameth Dumar Balmaceda</cp:lastModifiedBy>
  <cp:lastPrinted>2026-02-10T16:12:21Z</cp:lastPrinted>
  <dcterms:created xsi:type="dcterms:W3CDTF">2017-05-03T11:59:16Z</dcterms:created>
  <dcterms:modified xsi:type="dcterms:W3CDTF">2026-03-27T19:35:33Z</dcterms:modified>
</cp:coreProperties>
</file>